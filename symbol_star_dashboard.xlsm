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ownloads\GitRepos\bl-tier1-pointer\"/>
    </mc:Choice>
  </mc:AlternateContent>
  <xr:revisionPtr revIDLastSave="0" documentId="13_ncr:1_{63C6A867-3B78-402F-8CF5-BEA69A3FF06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lab_tracker" sheetId="1" r:id="rId1"/>
    <sheet name="dashboard_summar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1" i="1" l="1" a="1"/>
  <c r="S131" i="1" s="1"/>
  <c r="S165" i="1" a="1"/>
  <c r="S165" i="1" s="1"/>
  <c r="S271" i="1"/>
  <c r="S360" i="1" a="1"/>
  <c r="S360" i="1" s="1"/>
  <c r="S374" i="1"/>
  <c r="S442" i="1" a="1"/>
  <c r="S442" i="1" s="1"/>
  <c r="S461" i="1" a="1"/>
  <c r="S461" i="1" s="1"/>
  <c r="S467" i="1" a="1"/>
  <c r="S467" i="1" s="1"/>
  <c r="S474" i="1" a="1"/>
  <c r="S474" i="1" s="1"/>
  <c r="S493" i="1" a="1"/>
  <c r="S493" i="1" s="1"/>
  <c r="S499" i="1" a="1"/>
  <c r="S499" i="1" s="1"/>
  <c r="S506" i="1" a="1"/>
  <c r="S506" i="1" s="1"/>
  <c r="S525" i="1" a="1"/>
  <c r="S525" i="1" s="1"/>
  <c r="S530" i="1" a="1"/>
  <c r="S530" i="1" s="1"/>
  <c r="S535" i="1" a="1"/>
  <c r="S535" i="1" s="1"/>
  <c r="S541" i="1" a="1"/>
  <c r="S541" i="1" s="1"/>
  <c r="S546" i="1" a="1"/>
  <c r="S546" i="1" s="1"/>
  <c r="S551" i="1" a="1"/>
  <c r="S551" i="1" s="1"/>
  <c r="S557" i="1" a="1"/>
  <c r="S557" i="1" s="1"/>
  <c r="S562" i="1" a="1"/>
  <c r="S562" i="1" s="1"/>
  <c r="S567" i="1" a="1"/>
  <c r="S567" i="1" s="1"/>
  <c r="S573" i="1" a="1"/>
  <c r="S573" i="1" s="1"/>
  <c r="S578" i="1" a="1"/>
  <c r="S578" i="1" s="1"/>
  <c r="S583" i="1" a="1"/>
  <c r="S583" i="1" s="1"/>
  <c r="S589" i="1" a="1"/>
  <c r="S589" i="1" s="1"/>
  <c r="S594" i="1" a="1"/>
  <c r="S594" i="1" s="1"/>
  <c r="S599" i="1" a="1"/>
  <c r="S599" i="1" s="1"/>
  <c r="S605" i="1" a="1"/>
  <c r="S605" i="1" s="1"/>
  <c r="S610" i="1" a="1"/>
  <c r="S610" i="1" s="1"/>
  <c r="S615" i="1" a="1"/>
  <c r="S615" i="1" s="1"/>
  <c r="S621" i="1" a="1"/>
  <c r="S621" i="1" s="1"/>
  <c r="S626" i="1" a="1"/>
  <c r="S626" i="1" s="1"/>
  <c r="S631" i="1" a="1"/>
  <c r="S631" i="1" s="1"/>
  <c r="S640" i="1" a="1"/>
  <c r="S640" i="1" s="1"/>
  <c r="S645" i="1" a="1"/>
  <c r="S645" i="1" s="1"/>
  <c r="S654" i="1" a="1"/>
  <c r="S654" i="1" s="1"/>
  <c r="S663" i="1" a="1"/>
  <c r="S663" i="1" s="1"/>
  <c r="S672" i="1" a="1"/>
  <c r="S672" i="1" s="1"/>
  <c r="S677" i="1" a="1"/>
  <c r="S677" i="1" s="1"/>
  <c r="S686" i="1" a="1"/>
  <c r="S686" i="1" s="1"/>
  <c r="S695" i="1" a="1"/>
  <c r="S695" i="1" s="1"/>
  <c r="S699" i="1"/>
  <c r="S704" i="1" a="1"/>
  <c r="S704" i="1" s="1"/>
  <c r="S709" i="1" a="1"/>
  <c r="S709" i="1" s="1"/>
  <c r="S718" i="1" a="1"/>
  <c r="S718" i="1" s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" i="1"/>
  <c r="U2" i="1" a="1"/>
  <c r="U2" i="1" s="1"/>
  <c r="U3" i="1" a="1"/>
  <c r="U3" i="1" s="1"/>
  <c r="U4" i="1" a="1"/>
  <c r="U4" i="1" s="1"/>
  <c r="U5" i="1" a="1"/>
  <c r="U5" i="1" s="1"/>
  <c r="U6" i="1" a="1"/>
  <c r="U6" i="1" s="1"/>
  <c r="U7" i="1" a="1"/>
  <c r="U7" i="1" s="1"/>
  <c r="U8" i="1" a="1"/>
  <c r="U8" i="1" s="1"/>
  <c r="U9" i="1" a="1"/>
  <c r="U9" i="1" s="1"/>
  <c r="U10" i="1" a="1"/>
  <c r="U10" i="1" s="1"/>
  <c r="U11" i="1" a="1"/>
  <c r="U11" i="1" s="1"/>
  <c r="U12" i="1" a="1"/>
  <c r="U12" i="1" s="1"/>
  <c r="U13" i="1" a="1"/>
  <c r="U13" i="1" s="1"/>
  <c r="U14" i="1" a="1"/>
  <c r="U14" i="1" s="1"/>
  <c r="U15" i="1" a="1"/>
  <c r="U15" i="1" s="1"/>
  <c r="U16" i="1" a="1"/>
  <c r="U16" i="1" s="1"/>
  <c r="U17" i="1" a="1"/>
  <c r="U17" i="1" s="1"/>
  <c r="U18" i="1" a="1"/>
  <c r="U18" i="1" s="1"/>
  <c r="U19" i="1" a="1"/>
  <c r="U19" i="1" s="1"/>
  <c r="U20" i="1" a="1"/>
  <c r="U20" i="1" s="1"/>
  <c r="U21" i="1" a="1"/>
  <c r="U21" i="1"/>
  <c r="U22" i="1" a="1"/>
  <c r="U22" i="1" s="1"/>
  <c r="U23" i="1" a="1"/>
  <c r="U23" i="1" s="1"/>
  <c r="U24" i="1" a="1"/>
  <c r="U24" i="1" s="1"/>
  <c r="U25" i="1" a="1"/>
  <c r="U25" i="1" s="1"/>
  <c r="U26" i="1" a="1"/>
  <c r="U26" i="1" s="1"/>
  <c r="U27" i="1" a="1"/>
  <c r="U27" i="1" s="1"/>
  <c r="U28" i="1" a="1"/>
  <c r="U28" i="1" s="1"/>
  <c r="U29" i="1" a="1"/>
  <c r="U29" i="1" s="1"/>
  <c r="U30" i="1" a="1"/>
  <c r="U30" i="1" s="1"/>
  <c r="U31" i="1" a="1"/>
  <c r="U31" i="1" s="1"/>
  <c r="U32" i="1" a="1"/>
  <c r="U32" i="1" s="1"/>
  <c r="U33" i="1" a="1"/>
  <c r="U33" i="1" s="1"/>
  <c r="U34" i="1" a="1"/>
  <c r="U34" i="1" s="1"/>
  <c r="U35" i="1" a="1"/>
  <c r="U35" i="1" s="1"/>
  <c r="U36" i="1" a="1"/>
  <c r="U36" i="1" s="1"/>
  <c r="U37" i="1" a="1"/>
  <c r="U37" i="1" s="1"/>
  <c r="U38" i="1" a="1"/>
  <c r="U38" i="1" s="1"/>
  <c r="U39" i="1" a="1"/>
  <c r="U39" i="1" s="1"/>
  <c r="U40" i="1" a="1"/>
  <c r="U40" i="1" s="1"/>
  <c r="U41" i="1" a="1"/>
  <c r="U41" i="1" s="1"/>
  <c r="U42" i="1" a="1"/>
  <c r="U42" i="1" s="1"/>
  <c r="U43" i="1" a="1"/>
  <c r="U43" i="1" s="1"/>
  <c r="U44" i="1" a="1"/>
  <c r="U44" i="1" s="1"/>
  <c r="U45" i="1" a="1"/>
  <c r="U45" i="1" s="1"/>
  <c r="U46" i="1" a="1"/>
  <c r="U46" i="1" s="1"/>
  <c r="U47" i="1" a="1"/>
  <c r="U47" i="1" s="1"/>
  <c r="U48" i="1" a="1"/>
  <c r="U48" i="1" s="1"/>
  <c r="U49" i="1" a="1"/>
  <c r="U49" i="1" s="1"/>
  <c r="U50" i="1" a="1"/>
  <c r="U50" i="1" s="1"/>
  <c r="U51" i="1" a="1"/>
  <c r="U51" i="1" s="1"/>
  <c r="U52" i="1" a="1"/>
  <c r="U52" i="1" s="1"/>
  <c r="U53" i="1" a="1"/>
  <c r="U53" i="1" s="1"/>
  <c r="U54" i="1" a="1"/>
  <c r="U54" i="1" s="1"/>
  <c r="U55" i="1" a="1"/>
  <c r="U55" i="1" s="1"/>
  <c r="U56" i="1" a="1"/>
  <c r="U56" i="1" s="1"/>
  <c r="U57" i="1" a="1"/>
  <c r="U57" i="1" s="1"/>
  <c r="U58" i="1" a="1"/>
  <c r="U58" i="1" s="1"/>
  <c r="U59" i="1" a="1"/>
  <c r="U59" i="1" s="1"/>
  <c r="U60" i="1" a="1"/>
  <c r="U60" i="1" s="1"/>
  <c r="U61" i="1" a="1"/>
  <c r="U61" i="1" s="1"/>
  <c r="U62" i="1" a="1"/>
  <c r="U62" i="1" s="1"/>
  <c r="U63" i="1" a="1"/>
  <c r="U63" i="1" s="1"/>
  <c r="U64" i="1" a="1"/>
  <c r="U64" i="1" s="1"/>
  <c r="U65" i="1" a="1"/>
  <c r="U65" i="1" s="1"/>
  <c r="U66" i="1" a="1"/>
  <c r="U66" i="1" s="1"/>
  <c r="U67" i="1" a="1"/>
  <c r="U67" i="1" s="1"/>
  <c r="U68" i="1" a="1"/>
  <c r="U68" i="1" s="1"/>
  <c r="U69" i="1" a="1"/>
  <c r="U69" i="1" s="1"/>
  <c r="U70" i="1" a="1"/>
  <c r="U70" i="1" s="1"/>
  <c r="U71" i="1" a="1"/>
  <c r="U71" i="1" s="1"/>
  <c r="U72" i="1" a="1"/>
  <c r="U72" i="1" s="1"/>
  <c r="U73" i="1" a="1"/>
  <c r="U73" i="1" s="1"/>
  <c r="U74" i="1" a="1"/>
  <c r="U74" i="1" s="1"/>
  <c r="U75" i="1" a="1"/>
  <c r="U75" i="1" s="1"/>
  <c r="U76" i="1" a="1"/>
  <c r="U76" i="1" s="1"/>
  <c r="U77" i="1" a="1"/>
  <c r="U77" i="1" s="1"/>
  <c r="U78" i="1" a="1"/>
  <c r="U78" i="1" s="1"/>
  <c r="U79" i="1" a="1"/>
  <c r="U79" i="1" s="1"/>
  <c r="U80" i="1" a="1"/>
  <c r="U80" i="1" s="1"/>
  <c r="U81" i="1" a="1"/>
  <c r="U81" i="1" s="1"/>
  <c r="U82" i="1" a="1"/>
  <c r="U82" i="1" s="1"/>
  <c r="U83" i="1" a="1"/>
  <c r="U83" i="1" s="1"/>
  <c r="U84" i="1" a="1"/>
  <c r="U84" i="1" s="1"/>
  <c r="U85" i="1" a="1"/>
  <c r="U85" i="1" s="1"/>
  <c r="U86" i="1" a="1"/>
  <c r="U86" i="1" s="1"/>
  <c r="U87" i="1" a="1"/>
  <c r="U87" i="1" s="1"/>
  <c r="U88" i="1" a="1"/>
  <c r="U88" i="1" s="1"/>
  <c r="U89" i="1" a="1"/>
  <c r="U89" i="1" s="1"/>
  <c r="U90" i="1" a="1"/>
  <c r="U90" i="1" s="1"/>
  <c r="U91" i="1" a="1"/>
  <c r="U91" i="1" s="1"/>
  <c r="U92" i="1" a="1"/>
  <c r="U92" i="1" s="1"/>
  <c r="U93" i="1" a="1"/>
  <c r="U93" i="1" s="1"/>
  <c r="U94" i="1" a="1"/>
  <c r="U94" i="1" s="1"/>
  <c r="U95" i="1" a="1"/>
  <c r="U95" i="1" s="1"/>
  <c r="U96" i="1" a="1"/>
  <c r="U96" i="1" s="1"/>
  <c r="U97" i="1" a="1"/>
  <c r="U97" i="1" s="1"/>
  <c r="U98" i="1" a="1"/>
  <c r="U98" i="1" s="1"/>
  <c r="U99" i="1" a="1"/>
  <c r="U99" i="1" s="1"/>
  <c r="U100" i="1" a="1"/>
  <c r="U100" i="1" s="1"/>
  <c r="U101" i="1" a="1"/>
  <c r="U101" i="1" s="1"/>
  <c r="U102" i="1" a="1"/>
  <c r="U102" i="1" s="1"/>
  <c r="U103" i="1" a="1"/>
  <c r="U103" i="1" s="1"/>
  <c r="U104" i="1" a="1"/>
  <c r="U104" i="1" s="1"/>
  <c r="U105" i="1" a="1"/>
  <c r="U105" i="1" s="1"/>
  <c r="U106" i="1" a="1"/>
  <c r="U106" i="1" s="1"/>
  <c r="U107" i="1" a="1"/>
  <c r="U107" i="1" s="1"/>
  <c r="U108" i="1" a="1"/>
  <c r="U108" i="1" s="1"/>
  <c r="U109" i="1" a="1"/>
  <c r="U109" i="1" s="1"/>
  <c r="U110" i="1" a="1"/>
  <c r="U110" i="1" s="1"/>
  <c r="U111" i="1" a="1"/>
  <c r="U111" i="1" s="1"/>
  <c r="U112" i="1" a="1"/>
  <c r="U112" i="1" s="1"/>
  <c r="U113" i="1" a="1"/>
  <c r="U113" i="1" s="1"/>
  <c r="U114" i="1" a="1"/>
  <c r="U114" i="1" s="1"/>
  <c r="U115" i="1" a="1"/>
  <c r="U115" i="1" s="1"/>
  <c r="U116" i="1" a="1"/>
  <c r="U116" i="1" s="1"/>
  <c r="U117" i="1" a="1"/>
  <c r="U117" i="1" s="1"/>
  <c r="U118" i="1" a="1"/>
  <c r="U118" i="1" s="1"/>
  <c r="U119" i="1" a="1"/>
  <c r="U119" i="1" s="1"/>
  <c r="U120" i="1" a="1"/>
  <c r="U120" i="1" s="1"/>
  <c r="U121" i="1" a="1"/>
  <c r="U121" i="1" s="1"/>
  <c r="U122" i="1" a="1"/>
  <c r="U122" i="1" s="1"/>
  <c r="U123" i="1" a="1"/>
  <c r="U123" i="1" s="1"/>
  <c r="U124" i="1" a="1"/>
  <c r="U124" i="1" s="1"/>
  <c r="U125" i="1" a="1"/>
  <c r="U125" i="1" s="1"/>
  <c r="U126" i="1" a="1"/>
  <c r="U126" i="1" s="1"/>
  <c r="U127" i="1" a="1"/>
  <c r="U127" i="1" s="1"/>
  <c r="U128" i="1" a="1"/>
  <c r="U128" i="1" s="1"/>
  <c r="U129" i="1" a="1"/>
  <c r="U129" i="1" s="1"/>
  <c r="U130" i="1" a="1"/>
  <c r="U130" i="1" s="1"/>
  <c r="U131" i="1" a="1"/>
  <c r="U131" i="1" s="1"/>
  <c r="U132" i="1" a="1"/>
  <c r="U132" i="1" s="1"/>
  <c r="U133" i="1" a="1"/>
  <c r="U133" i="1" s="1"/>
  <c r="U134" i="1" a="1"/>
  <c r="U134" i="1" s="1"/>
  <c r="U135" i="1" a="1"/>
  <c r="U135" i="1" s="1"/>
  <c r="U136" i="1" a="1"/>
  <c r="U136" i="1" s="1"/>
  <c r="U137" i="1" a="1"/>
  <c r="U137" i="1" s="1"/>
  <c r="U138" i="1" a="1"/>
  <c r="U138" i="1" s="1"/>
  <c r="U139" i="1" a="1"/>
  <c r="U139" i="1" s="1"/>
  <c r="U140" i="1" a="1"/>
  <c r="U140" i="1" s="1"/>
  <c r="U141" i="1" a="1"/>
  <c r="U141" i="1" s="1"/>
  <c r="U142" i="1" a="1"/>
  <c r="U142" i="1" s="1"/>
  <c r="U143" i="1" a="1"/>
  <c r="U143" i="1" s="1"/>
  <c r="U144" i="1" a="1"/>
  <c r="U144" i="1" s="1"/>
  <c r="U145" i="1" a="1"/>
  <c r="U145" i="1" s="1"/>
  <c r="U146" i="1" a="1"/>
  <c r="U146" i="1" s="1"/>
  <c r="U147" i="1" a="1"/>
  <c r="U147" i="1" s="1"/>
  <c r="U148" i="1" a="1"/>
  <c r="U148" i="1" s="1"/>
  <c r="U149" i="1" a="1"/>
  <c r="U149" i="1" s="1"/>
  <c r="U150" i="1" a="1"/>
  <c r="U150" i="1" s="1"/>
  <c r="U151" i="1" a="1"/>
  <c r="U151" i="1" s="1"/>
  <c r="U152" i="1" a="1"/>
  <c r="U152" i="1" s="1"/>
  <c r="U153" i="1" a="1"/>
  <c r="U153" i="1" s="1"/>
  <c r="U154" i="1" a="1"/>
  <c r="U154" i="1" s="1"/>
  <c r="U155" i="1" a="1"/>
  <c r="U155" i="1" s="1"/>
  <c r="U156" i="1" a="1"/>
  <c r="U156" i="1" s="1"/>
  <c r="U157" i="1" a="1"/>
  <c r="U157" i="1" s="1"/>
  <c r="U158" i="1" a="1"/>
  <c r="U158" i="1" s="1"/>
  <c r="U159" i="1" a="1"/>
  <c r="U159" i="1" s="1"/>
  <c r="U160" i="1" a="1"/>
  <c r="U160" i="1" s="1"/>
  <c r="U161" i="1" a="1"/>
  <c r="U161" i="1" s="1"/>
  <c r="U162" i="1" a="1"/>
  <c r="U162" i="1" s="1"/>
  <c r="U163" i="1" a="1"/>
  <c r="U163" i="1" s="1"/>
  <c r="U164" i="1" a="1"/>
  <c r="U164" i="1" s="1"/>
  <c r="U165" i="1" a="1"/>
  <c r="U165" i="1" s="1"/>
  <c r="U166" i="1" a="1"/>
  <c r="U166" i="1" s="1"/>
  <c r="U167" i="1" a="1"/>
  <c r="U167" i="1" s="1"/>
  <c r="U168" i="1" a="1"/>
  <c r="U168" i="1" s="1"/>
  <c r="U169" i="1" a="1"/>
  <c r="U169" i="1" s="1"/>
  <c r="U170" i="1" a="1"/>
  <c r="U170" i="1" s="1"/>
  <c r="U171" i="1" a="1"/>
  <c r="U171" i="1" s="1"/>
  <c r="U172" i="1" a="1"/>
  <c r="U172" i="1" s="1"/>
  <c r="U173" i="1" a="1"/>
  <c r="U173" i="1" s="1"/>
  <c r="U174" i="1" a="1"/>
  <c r="U174" i="1" s="1"/>
  <c r="U175" i="1" a="1"/>
  <c r="U175" i="1" s="1"/>
  <c r="U176" i="1" a="1"/>
  <c r="U176" i="1" s="1"/>
  <c r="U177" i="1" a="1"/>
  <c r="U177" i="1" s="1"/>
  <c r="U178" i="1" a="1"/>
  <c r="U178" i="1" s="1"/>
  <c r="U179" i="1" a="1"/>
  <c r="U179" i="1" s="1"/>
  <c r="U180" i="1" a="1"/>
  <c r="U180" i="1" s="1"/>
  <c r="U181" i="1" a="1"/>
  <c r="U181" i="1" s="1"/>
  <c r="U182" i="1" a="1"/>
  <c r="U182" i="1" s="1"/>
  <c r="U183" i="1" a="1"/>
  <c r="U183" i="1" s="1"/>
  <c r="U184" i="1" a="1"/>
  <c r="U184" i="1" s="1"/>
  <c r="U185" i="1" a="1"/>
  <c r="U185" i="1" s="1"/>
  <c r="U186" i="1" a="1"/>
  <c r="U186" i="1" s="1"/>
  <c r="U187" i="1" a="1"/>
  <c r="U187" i="1" s="1"/>
  <c r="U188" i="1" a="1"/>
  <c r="U188" i="1" s="1"/>
  <c r="U189" i="1" a="1"/>
  <c r="U189" i="1" s="1"/>
  <c r="U190" i="1" a="1"/>
  <c r="U190" i="1" s="1"/>
  <c r="U191" i="1" a="1"/>
  <c r="U191" i="1" s="1"/>
  <c r="U192" i="1" a="1"/>
  <c r="U192" i="1" s="1"/>
  <c r="U193" i="1" a="1"/>
  <c r="U193" i="1" s="1"/>
  <c r="U194" i="1" a="1"/>
  <c r="U194" i="1" s="1"/>
  <c r="U195" i="1" a="1"/>
  <c r="U195" i="1" s="1"/>
  <c r="U196" i="1" a="1"/>
  <c r="U196" i="1" s="1"/>
  <c r="U197" i="1" a="1"/>
  <c r="U197" i="1" s="1"/>
  <c r="U198" i="1" a="1"/>
  <c r="U198" i="1" s="1"/>
  <c r="U199" i="1" a="1"/>
  <c r="U199" i="1" s="1"/>
  <c r="U200" i="1" a="1"/>
  <c r="U200" i="1" s="1"/>
  <c r="U201" i="1" a="1"/>
  <c r="U201" i="1" s="1"/>
  <c r="U202" i="1" a="1"/>
  <c r="U202" i="1" s="1"/>
  <c r="U203" i="1" a="1"/>
  <c r="U203" i="1" s="1"/>
  <c r="U204" i="1" a="1"/>
  <c r="U204" i="1" s="1"/>
  <c r="U205" i="1" a="1"/>
  <c r="U205" i="1" s="1"/>
  <c r="U206" i="1" a="1"/>
  <c r="U206" i="1" s="1"/>
  <c r="U207" i="1" a="1"/>
  <c r="U207" i="1" s="1"/>
  <c r="U208" i="1" a="1"/>
  <c r="U208" i="1" s="1"/>
  <c r="U209" i="1" a="1"/>
  <c r="U209" i="1" s="1"/>
  <c r="U210" i="1" a="1"/>
  <c r="U210" i="1" s="1"/>
  <c r="U211" i="1" a="1"/>
  <c r="U211" i="1" s="1"/>
  <c r="U212" i="1" a="1"/>
  <c r="U212" i="1" s="1"/>
  <c r="U213" i="1" a="1"/>
  <c r="U213" i="1" s="1"/>
  <c r="U214" i="1" a="1"/>
  <c r="U214" i="1" s="1"/>
  <c r="U215" i="1" a="1"/>
  <c r="U215" i="1" s="1"/>
  <c r="U216" i="1" a="1"/>
  <c r="U216" i="1" s="1"/>
  <c r="U217" i="1" a="1"/>
  <c r="U217" i="1" s="1"/>
  <c r="U218" i="1" a="1"/>
  <c r="U218" i="1" s="1"/>
  <c r="U219" i="1" a="1"/>
  <c r="U219" i="1" s="1"/>
  <c r="U220" i="1" a="1"/>
  <c r="U220" i="1" s="1"/>
  <c r="U221" i="1" a="1"/>
  <c r="U221" i="1" s="1"/>
  <c r="U222" i="1" a="1"/>
  <c r="U222" i="1" s="1"/>
  <c r="U223" i="1" a="1"/>
  <c r="U223" i="1" s="1"/>
  <c r="U224" i="1" a="1"/>
  <c r="U224" i="1" s="1"/>
  <c r="U225" i="1" a="1"/>
  <c r="U225" i="1" s="1"/>
  <c r="U226" i="1" a="1"/>
  <c r="U226" i="1" s="1"/>
  <c r="U227" i="1" a="1"/>
  <c r="U227" i="1" s="1"/>
  <c r="U228" i="1" a="1"/>
  <c r="U228" i="1" s="1"/>
  <c r="U229" i="1" a="1"/>
  <c r="U229" i="1" s="1"/>
  <c r="U230" i="1" a="1"/>
  <c r="U230" i="1" s="1"/>
  <c r="U231" i="1" a="1"/>
  <c r="U231" i="1" s="1"/>
  <c r="U232" i="1" a="1"/>
  <c r="U232" i="1" s="1"/>
  <c r="U233" i="1" a="1"/>
  <c r="U233" i="1" s="1"/>
  <c r="U234" i="1" a="1"/>
  <c r="U234" i="1" s="1"/>
  <c r="U235" i="1" a="1"/>
  <c r="U235" i="1" s="1"/>
  <c r="U236" i="1" a="1"/>
  <c r="U236" i="1" s="1"/>
  <c r="U237" i="1" a="1"/>
  <c r="U237" i="1" s="1"/>
  <c r="U238" i="1" a="1"/>
  <c r="U238" i="1" s="1"/>
  <c r="U239" i="1" a="1"/>
  <c r="U239" i="1" s="1"/>
  <c r="U240" i="1" a="1"/>
  <c r="U240" i="1" s="1"/>
  <c r="U241" i="1" a="1"/>
  <c r="U241" i="1" s="1"/>
  <c r="U242" i="1" a="1"/>
  <c r="U242" i="1" s="1"/>
  <c r="U243" i="1" a="1"/>
  <c r="U243" i="1" s="1"/>
  <c r="U244" i="1" a="1"/>
  <c r="U244" i="1" s="1"/>
  <c r="U245" i="1" a="1"/>
  <c r="U245" i="1" s="1"/>
  <c r="U246" i="1" a="1"/>
  <c r="U246" i="1" s="1"/>
  <c r="U247" i="1" a="1"/>
  <c r="U247" i="1" s="1"/>
  <c r="U248" i="1" a="1"/>
  <c r="U248" i="1" s="1"/>
  <c r="U249" i="1" a="1"/>
  <c r="U249" i="1" s="1"/>
  <c r="U250" i="1" a="1"/>
  <c r="U250" i="1" s="1"/>
  <c r="U251" i="1" a="1"/>
  <c r="U251" i="1" s="1"/>
  <c r="U252" i="1" a="1"/>
  <c r="U252" i="1" s="1"/>
  <c r="U253" i="1" a="1"/>
  <c r="U253" i="1" s="1"/>
  <c r="U254" i="1" a="1"/>
  <c r="U254" i="1" s="1"/>
  <c r="U255" i="1" a="1"/>
  <c r="U255" i="1" s="1"/>
  <c r="U256" i="1" a="1"/>
  <c r="U256" i="1" s="1"/>
  <c r="U257" i="1" a="1"/>
  <c r="U257" i="1" s="1"/>
  <c r="U258" i="1" a="1"/>
  <c r="U258" i="1" s="1"/>
  <c r="U259" i="1" a="1"/>
  <c r="U259" i="1" s="1"/>
  <c r="U260" i="1" a="1"/>
  <c r="U260" i="1" s="1"/>
  <c r="U261" i="1" a="1"/>
  <c r="U261" i="1" s="1"/>
  <c r="U262" i="1" a="1"/>
  <c r="U262" i="1" s="1"/>
  <c r="U263" i="1" a="1"/>
  <c r="U263" i="1" s="1"/>
  <c r="U264" i="1" a="1"/>
  <c r="U264" i="1" s="1"/>
  <c r="U265" i="1" a="1"/>
  <c r="U265" i="1" s="1"/>
  <c r="U266" i="1" a="1"/>
  <c r="U266" i="1" s="1"/>
  <c r="U267" i="1" a="1"/>
  <c r="U267" i="1" s="1"/>
  <c r="U268" i="1" a="1"/>
  <c r="U268" i="1" s="1"/>
  <c r="U269" i="1" a="1"/>
  <c r="U269" i="1" s="1"/>
  <c r="U270" i="1" a="1"/>
  <c r="U270" i="1" s="1"/>
  <c r="U271" i="1" a="1"/>
  <c r="U271" i="1" s="1"/>
  <c r="U272" i="1" a="1"/>
  <c r="U272" i="1" s="1"/>
  <c r="U273" i="1" a="1"/>
  <c r="U273" i="1" s="1"/>
  <c r="U274" i="1" a="1"/>
  <c r="U274" i="1" s="1"/>
  <c r="U275" i="1" a="1"/>
  <c r="U275" i="1" s="1"/>
  <c r="U276" i="1" a="1"/>
  <c r="U276" i="1" s="1"/>
  <c r="U277" i="1" a="1"/>
  <c r="U277" i="1" s="1"/>
  <c r="U278" i="1" a="1"/>
  <c r="U278" i="1" s="1"/>
  <c r="U279" i="1" a="1"/>
  <c r="U279" i="1" s="1"/>
  <c r="U280" i="1" a="1"/>
  <c r="U280" i="1" s="1"/>
  <c r="U281" i="1" a="1"/>
  <c r="U281" i="1" s="1"/>
  <c r="U282" i="1" a="1"/>
  <c r="U282" i="1" s="1"/>
  <c r="U283" i="1" a="1"/>
  <c r="U283" i="1" s="1"/>
  <c r="U284" i="1" a="1"/>
  <c r="U284" i="1" s="1"/>
  <c r="U285" i="1" a="1"/>
  <c r="U285" i="1" s="1"/>
  <c r="U286" i="1" a="1"/>
  <c r="U286" i="1" s="1"/>
  <c r="U287" i="1" a="1"/>
  <c r="U287" i="1" s="1"/>
  <c r="U288" i="1" a="1"/>
  <c r="U288" i="1" s="1"/>
  <c r="U289" i="1" a="1"/>
  <c r="U289" i="1" s="1"/>
  <c r="U290" i="1" a="1"/>
  <c r="U290" i="1" s="1"/>
  <c r="U291" i="1" a="1"/>
  <c r="U291" i="1" s="1"/>
  <c r="U292" i="1" a="1"/>
  <c r="U292" i="1" s="1"/>
  <c r="U293" i="1" a="1"/>
  <c r="U293" i="1" s="1"/>
  <c r="U294" i="1" a="1"/>
  <c r="U294" i="1" s="1"/>
  <c r="U295" i="1" a="1"/>
  <c r="U295" i="1" s="1"/>
  <c r="U296" i="1" a="1"/>
  <c r="U296" i="1" s="1"/>
  <c r="U297" i="1" a="1"/>
  <c r="U297" i="1" s="1"/>
  <c r="U298" i="1" a="1"/>
  <c r="U298" i="1" s="1"/>
  <c r="U299" i="1" a="1"/>
  <c r="U299" i="1" s="1"/>
  <c r="U300" i="1" a="1"/>
  <c r="U300" i="1" s="1"/>
  <c r="U301" i="1" a="1"/>
  <c r="U301" i="1" s="1"/>
  <c r="U302" i="1" a="1"/>
  <c r="U302" i="1" s="1"/>
  <c r="U303" i="1" a="1"/>
  <c r="U303" i="1" s="1"/>
  <c r="U304" i="1" a="1"/>
  <c r="U304" i="1" s="1"/>
  <c r="U305" i="1" a="1"/>
  <c r="U305" i="1" s="1"/>
  <c r="U306" i="1" a="1"/>
  <c r="U306" i="1" s="1"/>
  <c r="U307" i="1" a="1"/>
  <c r="U307" i="1" s="1"/>
  <c r="U308" i="1" a="1"/>
  <c r="U308" i="1" s="1"/>
  <c r="U309" i="1" a="1"/>
  <c r="U309" i="1" s="1"/>
  <c r="U310" i="1" a="1"/>
  <c r="U310" i="1" s="1"/>
  <c r="U311" i="1" a="1"/>
  <c r="U311" i="1" s="1"/>
  <c r="U312" i="1" a="1"/>
  <c r="U312" i="1" s="1"/>
  <c r="U313" i="1" a="1"/>
  <c r="U313" i="1" s="1"/>
  <c r="U314" i="1" a="1"/>
  <c r="U314" i="1" s="1"/>
  <c r="U315" i="1" a="1"/>
  <c r="U315" i="1" s="1"/>
  <c r="U316" i="1" a="1"/>
  <c r="U316" i="1" s="1"/>
  <c r="U317" i="1" a="1"/>
  <c r="U317" i="1" s="1"/>
  <c r="U318" i="1" a="1"/>
  <c r="U318" i="1" s="1"/>
  <c r="U319" i="1" a="1"/>
  <c r="U319" i="1" s="1"/>
  <c r="U320" i="1" a="1"/>
  <c r="U320" i="1" s="1"/>
  <c r="U321" i="1" a="1"/>
  <c r="U321" i="1" s="1"/>
  <c r="U322" i="1" a="1"/>
  <c r="U322" i="1" s="1"/>
  <c r="U323" i="1" a="1"/>
  <c r="U323" i="1" s="1"/>
  <c r="U324" i="1" a="1"/>
  <c r="U324" i="1" s="1"/>
  <c r="U325" i="1" a="1"/>
  <c r="U325" i="1" s="1"/>
  <c r="U326" i="1" a="1"/>
  <c r="U326" i="1" s="1"/>
  <c r="U327" i="1" a="1"/>
  <c r="U327" i="1" s="1"/>
  <c r="U328" i="1" a="1"/>
  <c r="U328" i="1" s="1"/>
  <c r="U329" i="1" a="1"/>
  <c r="U329" i="1" s="1"/>
  <c r="U330" i="1" a="1"/>
  <c r="U330" i="1" s="1"/>
  <c r="U331" i="1" a="1"/>
  <c r="U331" i="1" s="1"/>
  <c r="U332" i="1" a="1"/>
  <c r="U332" i="1" s="1"/>
  <c r="U333" i="1" a="1"/>
  <c r="U333" i="1" s="1"/>
  <c r="U334" i="1" a="1"/>
  <c r="U334" i="1" s="1"/>
  <c r="U335" i="1" a="1"/>
  <c r="U335" i="1" s="1"/>
  <c r="U336" i="1" a="1"/>
  <c r="U336" i="1" s="1"/>
  <c r="U337" i="1" a="1"/>
  <c r="U337" i="1" s="1"/>
  <c r="U338" i="1" a="1"/>
  <c r="U338" i="1" s="1"/>
  <c r="U339" i="1" a="1"/>
  <c r="U339" i="1" s="1"/>
  <c r="U340" i="1" a="1"/>
  <c r="U340" i="1" s="1"/>
  <c r="U341" i="1" a="1"/>
  <c r="U341" i="1" s="1"/>
  <c r="U342" i="1" a="1"/>
  <c r="U342" i="1" s="1"/>
  <c r="U343" i="1" a="1"/>
  <c r="U343" i="1" s="1"/>
  <c r="U344" i="1" a="1"/>
  <c r="U344" i="1" s="1"/>
  <c r="U345" i="1" a="1"/>
  <c r="U345" i="1" s="1"/>
  <c r="U346" i="1" a="1"/>
  <c r="U346" i="1" s="1"/>
  <c r="U347" i="1" a="1"/>
  <c r="U347" i="1" s="1"/>
  <c r="U348" i="1" a="1"/>
  <c r="U348" i="1" s="1"/>
  <c r="U349" i="1" a="1"/>
  <c r="U349" i="1" s="1"/>
  <c r="U350" i="1" a="1"/>
  <c r="U350" i="1" s="1"/>
  <c r="U351" i="1" a="1"/>
  <c r="U351" i="1" s="1"/>
  <c r="U352" i="1" a="1"/>
  <c r="U352" i="1" s="1"/>
  <c r="U353" i="1" a="1"/>
  <c r="U353" i="1" s="1"/>
  <c r="U354" i="1" a="1"/>
  <c r="U354" i="1" s="1"/>
  <c r="U355" i="1" a="1"/>
  <c r="U355" i="1" s="1"/>
  <c r="U356" i="1" a="1"/>
  <c r="U356" i="1" s="1"/>
  <c r="U357" i="1" a="1"/>
  <c r="U357" i="1" s="1"/>
  <c r="U358" i="1" a="1"/>
  <c r="U358" i="1" s="1"/>
  <c r="U359" i="1" a="1"/>
  <c r="U359" i="1" s="1"/>
  <c r="U360" i="1" a="1"/>
  <c r="U360" i="1" s="1"/>
  <c r="U361" i="1" a="1"/>
  <c r="U361" i="1" s="1"/>
  <c r="U362" i="1" a="1"/>
  <c r="U362" i="1" s="1"/>
  <c r="U363" i="1" a="1"/>
  <c r="U363" i="1" s="1"/>
  <c r="U364" i="1" a="1"/>
  <c r="U364" i="1" s="1"/>
  <c r="U365" i="1" a="1"/>
  <c r="U365" i="1" s="1"/>
  <c r="U366" i="1" a="1"/>
  <c r="U366" i="1" s="1"/>
  <c r="U367" i="1" a="1"/>
  <c r="U367" i="1" s="1"/>
  <c r="U368" i="1" a="1"/>
  <c r="U368" i="1" s="1"/>
  <c r="U369" i="1" a="1"/>
  <c r="U369" i="1" s="1"/>
  <c r="U370" i="1" a="1"/>
  <c r="U370" i="1" s="1"/>
  <c r="U371" i="1" a="1"/>
  <c r="U371" i="1" s="1"/>
  <c r="U372" i="1" a="1"/>
  <c r="U372" i="1" s="1"/>
  <c r="U373" i="1" a="1"/>
  <c r="U373" i="1" s="1"/>
  <c r="U374" i="1" a="1"/>
  <c r="U374" i="1" s="1"/>
  <c r="U375" i="1" a="1"/>
  <c r="U375" i="1" s="1"/>
  <c r="U376" i="1" a="1"/>
  <c r="U376" i="1" s="1"/>
  <c r="U377" i="1" a="1"/>
  <c r="U377" i="1" s="1"/>
  <c r="U378" i="1" a="1"/>
  <c r="U378" i="1" s="1"/>
  <c r="U379" i="1" a="1"/>
  <c r="U379" i="1" s="1"/>
  <c r="U380" i="1" a="1"/>
  <c r="U380" i="1" s="1"/>
  <c r="U381" i="1" a="1"/>
  <c r="U381" i="1" s="1"/>
  <c r="U382" i="1" a="1"/>
  <c r="U382" i="1" s="1"/>
  <c r="U383" i="1" a="1"/>
  <c r="U383" i="1" s="1"/>
  <c r="U384" i="1" a="1"/>
  <c r="U384" i="1" s="1"/>
  <c r="U385" i="1" a="1"/>
  <c r="U385" i="1" s="1"/>
  <c r="U386" i="1" a="1"/>
  <c r="U386" i="1" s="1"/>
  <c r="U387" i="1" a="1"/>
  <c r="U387" i="1" s="1"/>
  <c r="U388" i="1" a="1"/>
  <c r="U388" i="1" s="1"/>
  <c r="U389" i="1" a="1"/>
  <c r="U389" i="1" s="1"/>
  <c r="U390" i="1" a="1"/>
  <c r="U390" i="1" s="1"/>
  <c r="U391" i="1" a="1"/>
  <c r="U391" i="1" s="1"/>
  <c r="U392" i="1" a="1"/>
  <c r="U392" i="1" s="1"/>
  <c r="U393" i="1" a="1"/>
  <c r="U393" i="1" s="1"/>
  <c r="U394" i="1" a="1"/>
  <c r="U394" i="1" s="1"/>
  <c r="U395" i="1" a="1"/>
  <c r="U395" i="1" s="1"/>
  <c r="U396" i="1" a="1"/>
  <c r="U396" i="1" s="1"/>
  <c r="U397" i="1" a="1"/>
  <c r="U397" i="1" s="1"/>
  <c r="U398" i="1" a="1"/>
  <c r="U398" i="1" s="1"/>
  <c r="U399" i="1" a="1"/>
  <c r="U399" i="1" s="1"/>
  <c r="U400" i="1" a="1"/>
  <c r="U400" i="1" s="1"/>
  <c r="U401" i="1" a="1"/>
  <c r="U401" i="1" s="1"/>
  <c r="U402" i="1" a="1"/>
  <c r="U402" i="1" s="1"/>
  <c r="U403" i="1" a="1"/>
  <c r="U403" i="1" s="1"/>
  <c r="U404" i="1" a="1"/>
  <c r="U404" i="1" s="1"/>
  <c r="U405" i="1" a="1"/>
  <c r="U405" i="1" s="1"/>
  <c r="U406" i="1" a="1"/>
  <c r="U406" i="1" s="1"/>
  <c r="U407" i="1" a="1"/>
  <c r="U407" i="1" s="1"/>
  <c r="U408" i="1" a="1"/>
  <c r="U408" i="1" s="1"/>
  <c r="U409" i="1" a="1"/>
  <c r="U409" i="1" s="1"/>
  <c r="U410" i="1" a="1"/>
  <c r="U410" i="1" s="1"/>
  <c r="U411" i="1" a="1"/>
  <c r="U411" i="1" s="1"/>
  <c r="U412" i="1" a="1"/>
  <c r="U412" i="1" s="1"/>
  <c r="U413" i="1" a="1"/>
  <c r="U413" i="1" s="1"/>
  <c r="U414" i="1" a="1"/>
  <c r="U414" i="1" s="1"/>
  <c r="U415" i="1" a="1"/>
  <c r="U415" i="1" s="1"/>
  <c r="U416" i="1" a="1"/>
  <c r="U416" i="1" s="1"/>
  <c r="U417" i="1" a="1"/>
  <c r="U417" i="1" s="1"/>
  <c r="U418" i="1" a="1"/>
  <c r="U418" i="1" s="1"/>
  <c r="U419" i="1" a="1"/>
  <c r="U419" i="1" s="1"/>
  <c r="U420" i="1" a="1"/>
  <c r="U420" i="1" s="1"/>
  <c r="U421" i="1" a="1"/>
  <c r="U421" i="1" s="1"/>
  <c r="U422" i="1" a="1"/>
  <c r="U422" i="1" s="1"/>
  <c r="U423" i="1" a="1"/>
  <c r="U423" i="1" s="1"/>
  <c r="U424" i="1" a="1"/>
  <c r="U424" i="1" s="1"/>
  <c r="U425" i="1" a="1"/>
  <c r="U425" i="1" s="1"/>
  <c r="U426" i="1" a="1"/>
  <c r="U426" i="1" s="1"/>
  <c r="U427" i="1" a="1"/>
  <c r="U427" i="1" s="1"/>
  <c r="U428" i="1" a="1"/>
  <c r="U428" i="1" s="1"/>
  <c r="U429" i="1" a="1"/>
  <c r="U429" i="1" s="1"/>
  <c r="U430" i="1" a="1"/>
  <c r="U430" i="1" s="1"/>
  <c r="U431" i="1" a="1"/>
  <c r="U431" i="1" s="1"/>
  <c r="U432" i="1" a="1"/>
  <c r="U432" i="1" s="1"/>
  <c r="U433" i="1" a="1"/>
  <c r="U433" i="1" s="1"/>
  <c r="U434" i="1" a="1"/>
  <c r="U434" i="1" s="1"/>
  <c r="U435" i="1" a="1"/>
  <c r="U435" i="1" s="1"/>
  <c r="U436" i="1" a="1"/>
  <c r="U436" i="1" s="1"/>
  <c r="U437" i="1" a="1"/>
  <c r="U437" i="1" s="1"/>
  <c r="U438" i="1" a="1"/>
  <c r="U438" i="1" s="1"/>
  <c r="U439" i="1" a="1"/>
  <c r="U439" i="1" s="1"/>
  <c r="U440" i="1" a="1"/>
  <c r="U440" i="1" s="1"/>
  <c r="U441" i="1" a="1"/>
  <c r="U441" i="1" s="1"/>
  <c r="U442" i="1" a="1"/>
  <c r="U442" i="1" s="1"/>
  <c r="U443" i="1" a="1"/>
  <c r="U443" i="1" s="1"/>
  <c r="U444" i="1" a="1"/>
  <c r="U444" i="1" s="1"/>
  <c r="U445" i="1" a="1"/>
  <c r="U445" i="1" s="1"/>
  <c r="U446" i="1" a="1"/>
  <c r="U446" i="1" s="1"/>
  <c r="U447" i="1" a="1"/>
  <c r="U447" i="1" s="1"/>
  <c r="U448" i="1" a="1"/>
  <c r="U448" i="1" s="1"/>
  <c r="U449" i="1" a="1"/>
  <c r="U449" i="1" s="1"/>
  <c r="U450" i="1" a="1"/>
  <c r="U450" i="1" s="1"/>
  <c r="U451" i="1" a="1"/>
  <c r="U451" i="1" s="1"/>
  <c r="U452" i="1" a="1"/>
  <c r="U452" i="1" s="1"/>
  <c r="U453" i="1" a="1"/>
  <c r="U453" i="1" s="1"/>
  <c r="U454" i="1" a="1"/>
  <c r="U454" i="1" s="1"/>
  <c r="U455" i="1" a="1"/>
  <c r="U455" i="1" s="1"/>
  <c r="U456" i="1" a="1"/>
  <c r="U456" i="1" s="1"/>
  <c r="U457" i="1" a="1"/>
  <c r="U457" i="1" s="1"/>
  <c r="U458" i="1" a="1"/>
  <c r="U458" i="1" s="1"/>
  <c r="U459" i="1" a="1"/>
  <c r="U459" i="1" s="1"/>
  <c r="U460" i="1" a="1"/>
  <c r="U460" i="1" s="1"/>
  <c r="U461" i="1" a="1"/>
  <c r="U461" i="1" s="1"/>
  <c r="U462" i="1" a="1"/>
  <c r="U462" i="1" s="1"/>
  <c r="U463" i="1" a="1"/>
  <c r="U463" i="1" s="1"/>
  <c r="U464" i="1" a="1"/>
  <c r="U464" i="1" s="1"/>
  <c r="U465" i="1" a="1"/>
  <c r="U465" i="1" s="1"/>
  <c r="U466" i="1" a="1"/>
  <c r="U466" i="1" s="1"/>
  <c r="U467" i="1" a="1"/>
  <c r="U467" i="1" s="1"/>
  <c r="U468" i="1" a="1"/>
  <c r="U468" i="1" s="1"/>
  <c r="U469" i="1" a="1"/>
  <c r="U469" i="1" s="1"/>
  <c r="U470" i="1" a="1"/>
  <c r="U470" i="1" s="1"/>
  <c r="U471" i="1" a="1"/>
  <c r="U471" i="1" s="1"/>
  <c r="U472" i="1" a="1"/>
  <c r="U472" i="1" s="1"/>
  <c r="U473" i="1" a="1"/>
  <c r="U473" i="1" s="1"/>
  <c r="U474" i="1" a="1"/>
  <c r="U474" i="1" s="1"/>
  <c r="U475" i="1" a="1"/>
  <c r="U475" i="1" s="1"/>
  <c r="U476" i="1" a="1"/>
  <c r="U476" i="1" s="1"/>
  <c r="U477" i="1" a="1"/>
  <c r="U477" i="1" s="1"/>
  <c r="U478" i="1" a="1"/>
  <c r="U478" i="1" s="1"/>
  <c r="U479" i="1" a="1"/>
  <c r="U479" i="1" s="1"/>
  <c r="U480" i="1" a="1"/>
  <c r="U480" i="1" s="1"/>
  <c r="U481" i="1" a="1"/>
  <c r="U481" i="1" s="1"/>
  <c r="U482" i="1" a="1"/>
  <c r="U482" i="1" s="1"/>
  <c r="U483" i="1" a="1"/>
  <c r="U483" i="1" s="1"/>
  <c r="U484" i="1" a="1"/>
  <c r="U484" i="1" s="1"/>
  <c r="U485" i="1" a="1"/>
  <c r="U485" i="1" s="1"/>
  <c r="U486" i="1" a="1"/>
  <c r="U486" i="1" s="1"/>
  <c r="U487" i="1" a="1"/>
  <c r="U487" i="1" s="1"/>
  <c r="U488" i="1" a="1"/>
  <c r="U488" i="1" s="1"/>
  <c r="U489" i="1" a="1"/>
  <c r="U489" i="1" s="1"/>
  <c r="U490" i="1" a="1"/>
  <c r="U490" i="1" s="1"/>
  <c r="U491" i="1" a="1"/>
  <c r="U491" i="1" s="1"/>
  <c r="U492" i="1" a="1"/>
  <c r="U492" i="1" s="1"/>
  <c r="U493" i="1" a="1"/>
  <c r="U493" i="1" s="1"/>
  <c r="U494" i="1" a="1"/>
  <c r="U494" i="1" s="1"/>
  <c r="U495" i="1" a="1"/>
  <c r="U495" i="1" s="1"/>
  <c r="U496" i="1" a="1"/>
  <c r="U496" i="1" s="1"/>
  <c r="U497" i="1" a="1"/>
  <c r="U497" i="1" s="1"/>
  <c r="U498" i="1" a="1"/>
  <c r="U498" i="1" s="1"/>
  <c r="U499" i="1" a="1"/>
  <c r="U499" i="1" s="1"/>
  <c r="U500" i="1" a="1"/>
  <c r="U500" i="1" s="1"/>
  <c r="U501" i="1" a="1"/>
  <c r="U501" i="1" s="1"/>
  <c r="U502" i="1" a="1"/>
  <c r="U502" i="1" s="1"/>
  <c r="U503" i="1" a="1"/>
  <c r="U503" i="1" s="1"/>
  <c r="U504" i="1" a="1"/>
  <c r="U504" i="1" s="1"/>
  <c r="U505" i="1" a="1"/>
  <c r="U505" i="1" s="1"/>
  <c r="U506" i="1" a="1"/>
  <c r="U506" i="1" s="1"/>
  <c r="U507" i="1" a="1"/>
  <c r="U507" i="1" s="1"/>
  <c r="U508" i="1" a="1"/>
  <c r="U508" i="1" s="1"/>
  <c r="U509" i="1" a="1"/>
  <c r="U509" i="1" s="1"/>
  <c r="U510" i="1" a="1"/>
  <c r="U510" i="1" s="1"/>
  <c r="U511" i="1" a="1"/>
  <c r="U511" i="1" s="1"/>
  <c r="U512" i="1" a="1"/>
  <c r="U512" i="1" s="1"/>
  <c r="U513" i="1" a="1"/>
  <c r="U513" i="1" s="1"/>
  <c r="U514" i="1" a="1"/>
  <c r="U514" i="1" s="1"/>
  <c r="U515" i="1" a="1"/>
  <c r="U515" i="1" s="1"/>
  <c r="U516" i="1" a="1"/>
  <c r="U516" i="1" s="1"/>
  <c r="U517" i="1" a="1"/>
  <c r="U517" i="1" s="1"/>
  <c r="U518" i="1" a="1"/>
  <c r="U518" i="1" s="1"/>
  <c r="U519" i="1" a="1"/>
  <c r="U519" i="1" s="1"/>
  <c r="U520" i="1" a="1"/>
  <c r="U520" i="1" s="1"/>
  <c r="U521" i="1" a="1"/>
  <c r="U521" i="1" s="1"/>
  <c r="U522" i="1" a="1"/>
  <c r="U522" i="1" s="1"/>
  <c r="U523" i="1" a="1"/>
  <c r="U523" i="1" s="1"/>
  <c r="U524" i="1" a="1"/>
  <c r="U524" i="1" s="1"/>
  <c r="U525" i="1" a="1"/>
  <c r="U525" i="1" s="1"/>
  <c r="U526" i="1" a="1"/>
  <c r="U526" i="1" s="1"/>
  <c r="U527" i="1" a="1"/>
  <c r="U527" i="1" s="1"/>
  <c r="U528" i="1" a="1"/>
  <c r="U528" i="1" s="1"/>
  <c r="U529" i="1" a="1"/>
  <c r="U529" i="1" s="1"/>
  <c r="U530" i="1" a="1"/>
  <c r="U530" i="1" s="1"/>
  <c r="U531" i="1" a="1"/>
  <c r="U531" i="1" s="1"/>
  <c r="U532" i="1" a="1"/>
  <c r="U532" i="1" s="1"/>
  <c r="U533" i="1" a="1"/>
  <c r="U533" i="1" s="1"/>
  <c r="U534" i="1" a="1"/>
  <c r="U534" i="1" s="1"/>
  <c r="U535" i="1" a="1"/>
  <c r="U535" i="1" s="1"/>
  <c r="U536" i="1" a="1"/>
  <c r="U536" i="1" s="1"/>
  <c r="U537" i="1" a="1"/>
  <c r="U537" i="1" s="1"/>
  <c r="U538" i="1" a="1"/>
  <c r="U538" i="1" s="1"/>
  <c r="U539" i="1" a="1"/>
  <c r="U539" i="1" s="1"/>
  <c r="U540" i="1" a="1"/>
  <c r="U540" i="1" s="1"/>
  <c r="U541" i="1" a="1"/>
  <c r="U541" i="1" s="1"/>
  <c r="U542" i="1" a="1"/>
  <c r="U542" i="1" s="1"/>
  <c r="U543" i="1" a="1"/>
  <c r="U543" i="1" s="1"/>
  <c r="U544" i="1" a="1"/>
  <c r="U544" i="1" s="1"/>
  <c r="U545" i="1" a="1"/>
  <c r="U545" i="1" s="1"/>
  <c r="U546" i="1" a="1"/>
  <c r="U546" i="1" s="1"/>
  <c r="U547" i="1" a="1"/>
  <c r="U547" i="1" s="1"/>
  <c r="U548" i="1" a="1"/>
  <c r="U548" i="1" s="1"/>
  <c r="U549" i="1" a="1"/>
  <c r="U549" i="1" s="1"/>
  <c r="U550" i="1" a="1"/>
  <c r="U550" i="1" s="1"/>
  <c r="U551" i="1" a="1"/>
  <c r="U551" i="1" s="1"/>
  <c r="U552" i="1" a="1"/>
  <c r="U552" i="1" s="1"/>
  <c r="U553" i="1" a="1"/>
  <c r="U553" i="1" s="1"/>
  <c r="U554" i="1" a="1"/>
  <c r="U554" i="1" s="1"/>
  <c r="U555" i="1" a="1"/>
  <c r="U555" i="1" s="1"/>
  <c r="U556" i="1" a="1"/>
  <c r="U556" i="1" s="1"/>
  <c r="U557" i="1" a="1"/>
  <c r="U557" i="1" s="1"/>
  <c r="U558" i="1" a="1"/>
  <c r="U558" i="1" s="1"/>
  <c r="U559" i="1" a="1"/>
  <c r="U559" i="1" s="1"/>
  <c r="U560" i="1" a="1"/>
  <c r="U560" i="1" s="1"/>
  <c r="U561" i="1" a="1"/>
  <c r="U561" i="1" s="1"/>
  <c r="U562" i="1" a="1"/>
  <c r="U562" i="1" s="1"/>
  <c r="U563" i="1" a="1"/>
  <c r="U563" i="1" s="1"/>
  <c r="U564" i="1" a="1"/>
  <c r="U564" i="1" s="1"/>
  <c r="U565" i="1" a="1"/>
  <c r="U565" i="1" s="1"/>
  <c r="U566" i="1" a="1"/>
  <c r="U566" i="1" s="1"/>
  <c r="U567" i="1" a="1"/>
  <c r="U567" i="1" s="1"/>
  <c r="U568" i="1" a="1"/>
  <c r="U568" i="1" s="1"/>
  <c r="U569" i="1" a="1"/>
  <c r="U569" i="1" s="1"/>
  <c r="U570" i="1" a="1"/>
  <c r="U570" i="1" s="1"/>
  <c r="U571" i="1" a="1"/>
  <c r="U571" i="1" s="1"/>
  <c r="U572" i="1" a="1"/>
  <c r="U572" i="1" s="1"/>
  <c r="U573" i="1" a="1"/>
  <c r="U573" i="1" s="1"/>
  <c r="U574" i="1" a="1"/>
  <c r="U574" i="1" s="1"/>
  <c r="U575" i="1" a="1"/>
  <c r="U575" i="1" s="1"/>
  <c r="U576" i="1" a="1"/>
  <c r="U576" i="1" s="1"/>
  <c r="U577" i="1" a="1"/>
  <c r="U577" i="1" s="1"/>
  <c r="U578" i="1" a="1"/>
  <c r="U578" i="1" s="1"/>
  <c r="U579" i="1" a="1"/>
  <c r="U579" i="1" s="1"/>
  <c r="U580" i="1" a="1"/>
  <c r="U580" i="1" s="1"/>
  <c r="U581" i="1" a="1"/>
  <c r="U581" i="1" s="1"/>
  <c r="U582" i="1" a="1"/>
  <c r="U582" i="1" s="1"/>
  <c r="U583" i="1" a="1"/>
  <c r="U583" i="1" s="1"/>
  <c r="U584" i="1" a="1"/>
  <c r="U584" i="1" s="1"/>
  <c r="U585" i="1" a="1"/>
  <c r="U585" i="1" s="1"/>
  <c r="U586" i="1" a="1"/>
  <c r="U586" i="1" s="1"/>
  <c r="U587" i="1" a="1"/>
  <c r="U587" i="1" s="1"/>
  <c r="U588" i="1" a="1"/>
  <c r="U588" i="1" s="1"/>
  <c r="U589" i="1" a="1"/>
  <c r="U589" i="1" s="1"/>
  <c r="U590" i="1" a="1"/>
  <c r="U590" i="1" s="1"/>
  <c r="U591" i="1" a="1"/>
  <c r="U591" i="1" s="1"/>
  <c r="U592" i="1" a="1"/>
  <c r="U592" i="1" s="1"/>
  <c r="U593" i="1" a="1"/>
  <c r="U593" i="1" s="1"/>
  <c r="U594" i="1" a="1"/>
  <c r="U594" i="1" s="1"/>
  <c r="U595" i="1" a="1"/>
  <c r="U595" i="1" s="1"/>
  <c r="U596" i="1" a="1"/>
  <c r="U596" i="1" s="1"/>
  <c r="U597" i="1" a="1"/>
  <c r="U597" i="1" s="1"/>
  <c r="U598" i="1" a="1"/>
  <c r="U598" i="1" s="1"/>
  <c r="U599" i="1" a="1"/>
  <c r="U599" i="1" s="1"/>
  <c r="U600" i="1" a="1"/>
  <c r="U600" i="1" s="1"/>
  <c r="U601" i="1" a="1"/>
  <c r="U601" i="1" s="1"/>
  <c r="U602" i="1" a="1"/>
  <c r="U602" i="1" s="1"/>
  <c r="U603" i="1" a="1"/>
  <c r="U603" i="1" s="1"/>
  <c r="U604" i="1" a="1"/>
  <c r="U604" i="1" s="1"/>
  <c r="U605" i="1" a="1"/>
  <c r="U605" i="1" s="1"/>
  <c r="U606" i="1" a="1"/>
  <c r="U606" i="1" s="1"/>
  <c r="U607" i="1" a="1"/>
  <c r="U607" i="1" s="1"/>
  <c r="U608" i="1" a="1"/>
  <c r="U608" i="1" s="1"/>
  <c r="U609" i="1" a="1"/>
  <c r="U609" i="1" s="1"/>
  <c r="U610" i="1" a="1"/>
  <c r="U610" i="1" s="1"/>
  <c r="U611" i="1" a="1"/>
  <c r="U611" i="1" s="1"/>
  <c r="U612" i="1" a="1"/>
  <c r="U612" i="1" s="1"/>
  <c r="U613" i="1" a="1"/>
  <c r="U613" i="1" s="1"/>
  <c r="U614" i="1" a="1"/>
  <c r="U614" i="1" s="1"/>
  <c r="U615" i="1" a="1"/>
  <c r="U615" i="1" s="1"/>
  <c r="U616" i="1" a="1"/>
  <c r="U616" i="1" s="1"/>
  <c r="U617" i="1" a="1"/>
  <c r="U617" i="1" s="1"/>
  <c r="U618" i="1" a="1"/>
  <c r="U618" i="1" s="1"/>
  <c r="U619" i="1" a="1"/>
  <c r="U619" i="1" s="1"/>
  <c r="U620" i="1" a="1"/>
  <c r="U620" i="1" s="1"/>
  <c r="U621" i="1" a="1"/>
  <c r="U621" i="1" s="1"/>
  <c r="U622" i="1" a="1"/>
  <c r="U622" i="1" s="1"/>
  <c r="U623" i="1" a="1"/>
  <c r="U623" i="1" s="1"/>
  <c r="U624" i="1" a="1"/>
  <c r="U624" i="1" s="1"/>
  <c r="U625" i="1" a="1"/>
  <c r="U625" i="1" s="1"/>
  <c r="U626" i="1" a="1"/>
  <c r="U626" i="1" s="1"/>
  <c r="U627" i="1" a="1"/>
  <c r="U627" i="1" s="1"/>
  <c r="U628" i="1" a="1"/>
  <c r="U628" i="1" s="1"/>
  <c r="U629" i="1" a="1"/>
  <c r="U629" i="1" s="1"/>
  <c r="U630" i="1" a="1"/>
  <c r="U630" i="1" s="1"/>
  <c r="U631" i="1" a="1"/>
  <c r="U631" i="1" s="1"/>
  <c r="U632" i="1" a="1"/>
  <c r="U632" i="1" s="1"/>
  <c r="U633" i="1" a="1"/>
  <c r="U633" i="1" s="1"/>
  <c r="U634" i="1" a="1"/>
  <c r="U634" i="1" s="1"/>
  <c r="U635" i="1" a="1"/>
  <c r="U635" i="1" s="1"/>
  <c r="U636" i="1" a="1"/>
  <c r="U636" i="1" s="1"/>
  <c r="U637" i="1" a="1"/>
  <c r="U637" i="1" s="1"/>
  <c r="U638" i="1" a="1"/>
  <c r="U638" i="1" s="1"/>
  <c r="U639" i="1" a="1"/>
  <c r="U639" i="1" s="1"/>
  <c r="U640" i="1" a="1"/>
  <c r="U640" i="1" s="1"/>
  <c r="U641" i="1" a="1"/>
  <c r="U641" i="1" s="1"/>
  <c r="U642" i="1" a="1"/>
  <c r="U642" i="1" s="1"/>
  <c r="U643" i="1" a="1"/>
  <c r="U643" i="1" s="1"/>
  <c r="U644" i="1" a="1"/>
  <c r="U644" i="1" s="1"/>
  <c r="U645" i="1" a="1"/>
  <c r="U645" i="1" s="1"/>
  <c r="U646" i="1" a="1"/>
  <c r="U646" i="1" s="1"/>
  <c r="U647" i="1" a="1"/>
  <c r="U647" i="1" s="1"/>
  <c r="U648" i="1" a="1"/>
  <c r="U648" i="1" s="1"/>
  <c r="U649" i="1" a="1"/>
  <c r="U649" i="1" s="1"/>
  <c r="U650" i="1" a="1"/>
  <c r="U650" i="1" s="1"/>
  <c r="U651" i="1" a="1"/>
  <c r="U651" i="1" s="1"/>
  <c r="U652" i="1" a="1"/>
  <c r="U652" i="1" s="1"/>
  <c r="U653" i="1" a="1"/>
  <c r="U653" i="1" s="1"/>
  <c r="U654" i="1" a="1"/>
  <c r="U654" i="1" s="1"/>
  <c r="U655" i="1" a="1"/>
  <c r="U655" i="1" s="1"/>
  <c r="U656" i="1" a="1"/>
  <c r="U656" i="1" s="1"/>
  <c r="U657" i="1" a="1"/>
  <c r="U657" i="1" s="1"/>
  <c r="U658" i="1" a="1"/>
  <c r="U658" i="1" s="1"/>
  <c r="U659" i="1" a="1"/>
  <c r="U659" i="1" s="1"/>
  <c r="U660" i="1" a="1"/>
  <c r="U660" i="1" s="1"/>
  <c r="U661" i="1" a="1"/>
  <c r="U661" i="1" s="1"/>
  <c r="U662" i="1" a="1"/>
  <c r="U662" i="1" s="1"/>
  <c r="U663" i="1" a="1"/>
  <c r="U663" i="1" s="1"/>
  <c r="U664" i="1" a="1"/>
  <c r="U664" i="1" s="1"/>
  <c r="U665" i="1" a="1"/>
  <c r="U665" i="1" s="1"/>
  <c r="U666" i="1" a="1"/>
  <c r="U666" i="1" s="1"/>
  <c r="U667" i="1" a="1"/>
  <c r="U667" i="1" s="1"/>
  <c r="U668" i="1" a="1"/>
  <c r="U668" i="1" s="1"/>
  <c r="U669" i="1" a="1"/>
  <c r="U669" i="1" s="1"/>
  <c r="U670" i="1" a="1"/>
  <c r="U670" i="1" s="1"/>
  <c r="U671" i="1" a="1"/>
  <c r="U671" i="1" s="1"/>
  <c r="U672" i="1" a="1"/>
  <c r="U672" i="1" s="1"/>
  <c r="U673" i="1" a="1"/>
  <c r="U673" i="1" s="1"/>
  <c r="U674" i="1" a="1"/>
  <c r="U674" i="1" s="1"/>
  <c r="U675" i="1" a="1"/>
  <c r="U675" i="1" s="1"/>
  <c r="U676" i="1" a="1"/>
  <c r="U676" i="1" s="1"/>
  <c r="U677" i="1" a="1"/>
  <c r="U677" i="1" s="1"/>
  <c r="U678" i="1" a="1"/>
  <c r="U678" i="1" s="1"/>
  <c r="U679" i="1" a="1"/>
  <c r="U679" i="1" s="1"/>
  <c r="U680" i="1" a="1"/>
  <c r="U680" i="1" s="1"/>
  <c r="U681" i="1" a="1"/>
  <c r="U681" i="1" s="1"/>
  <c r="U682" i="1" a="1"/>
  <c r="U682" i="1" s="1"/>
  <c r="U683" i="1" a="1"/>
  <c r="U683" i="1" s="1"/>
  <c r="U684" i="1" a="1"/>
  <c r="U684" i="1" s="1"/>
  <c r="U685" i="1" a="1"/>
  <c r="U685" i="1" s="1"/>
  <c r="U686" i="1" a="1"/>
  <c r="U686" i="1" s="1"/>
  <c r="U687" i="1" a="1"/>
  <c r="U687" i="1" s="1"/>
  <c r="U688" i="1" a="1"/>
  <c r="U688" i="1" s="1"/>
  <c r="U689" i="1" a="1"/>
  <c r="U689" i="1" s="1"/>
  <c r="U690" i="1" a="1"/>
  <c r="U690" i="1" s="1"/>
  <c r="U691" i="1" a="1"/>
  <c r="U691" i="1" s="1"/>
  <c r="U692" i="1" a="1"/>
  <c r="U692" i="1" s="1"/>
  <c r="U693" i="1" a="1"/>
  <c r="U693" i="1" s="1"/>
  <c r="U694" i="1" a="1"/>
  <c r="U694" i="1" s="1"/>
  <c r="U695" i="1" a="1"/>
  <c r="U695" i="1" s="1"/>
  <c r="U696" i="1" a="1"/>
  <c r="U696" i="1" s="1"/>
  <c r="U697" i="1" a="1"/>
  <c r="U697" i="1" s="1"/>
  <c r="U698" i="1" a="1"/>
  <c r="U698" i="1" s="1"/>
  <c r="U699" i="1" a="1"/>
  <c r="U699" i="1" s="1"/>
  <c r="U700" i="1" a="1"/>
  <c r="U700" i="1" s="1"/>
  <c r="U701" i="1" a="1"/>
  <c r="U701" i="1" s="1"/>
  <c r="U702" i="1" a="1"/>
  <c r="U702" i="1" s="1"/>
  <c r="U703" i="1" a="1"/>
  <c r="U703" i="1" s="1"/>
  <c r="U704" i="1" a="1"/>
  <c r="U704" i="1" s="1"/>
  <c r="U705" i="1" a="1"/>
  <c r="U705" i="1" s="1"/>
  <c r="U706" i="1" a="1"/>
  <c r="U706" i="1" s="1"/>
  <c r="U707" i="1" a="1"/>
  <c r="U707" i="1" s="1"/>
  <c r="U708" i="1" a="1"/>
  <c r="U708" i="1" s="1"/>
  <c r="U709" i="1" a="1"/>
  <c r="U709" i="1" s="1"/>
  <c r="U710" i="1" a="1"/>
  <c r="U710" i="1" s="1"/>
  <c r="U711" i="1" a="1"/>
  <c r="U711" i="1" s="1"/>
  <c r="U712" i="1" a="1"/>
  <c r="U712" i="1" s="1"/>
  <c r="U713" i="1" a="1"/>
  <c r="U713" i="1" s="1"/>
  <c r="U714" i="1" a="1"/>
  <c r="U714" i="1" s="1"/>
  <c r="U715" i="1" a="1"/>
  <c r="U715" i="1" s="1"/>
  <c r="U716" i="1" a="1"/>
  <c r="U716" i="1" s="1"/>
  <c r="U717" i="1" a="1"/>
  <c r="U717" i="1" s="1"/>
  <c r="U718" i="1" a="1"/>
  <c r="U718" i="1" s="1"/>
  <c r="U719" i="1" a="1"/>
  <c r="U719" i="1" s="1"/>
  <c r="U720" i="1" a="1"/>
  <c r="U720" i="1" s="1"/>
  <c r="U721" i="1" a="1"/>
  <c r="U721" i="1" s="1"/>
  <c r="U722" i="1" a="1"/>
  <c r="U722" i="1" s="1"/>
  <c r="U723" i="1" a="1"/>
  <c r="U723" i="1" s="1"/>
  <c r="S2" i="1" a="1"/>
  <c r="S2" i="1" s="1"/>
  <c r="T2" i="1"/>
  <c r="T3" i="1"/>
  <c r="S3" i="1" s="1" a="1"/>
  <c r="S3" i="1" s="1"/>
  <c r="T4" i="1"/>
  <c r="S4" i="1" s="1" a="1"/>
  <c r="S4" i="1" s="1"/>
  <c r="T5" i="1"/>
  <c r="S5" i="1" s="1" a="1"/>
  <c r="S5" i="1" s="1"/>
  <c r="T6" i="1"/>
  <c r="S6" i="1" s="1" a="1"/>
  <c r="S6" i="1" s="1"/>
  <c r="T7" i="1"/>
  <c r="S7" i="1" s="1" a="1"/>
  <c r="S7" i="1" s="1"/>
  <c r="T8" i="1"/>
  <c r="S8" i="1" s="1" a="1"/>
  <c r="S8" i="1" s="1"/>
  <c r="T9" i="1"/>
  <c r="S9" i="1" s="1" a="1"/>
  <c r="S9" i="1" s="1"/>
  <c r="T10" i="1"/>
  <c r="S10" i="1" s="1" a="1"/>
  <c r="S10" i="1" s="1"/>
  <c r="T11" i="1"/>
  <c r="S11" i="1" s="1" a="1"/>
  <c r="S11" i="1" s="1"/>
  <c r="T12" i="1"/>
  <c r="S12" i="1" s="1" a="1"/>
  <c r="S12" i="1" s="1"/>
  <c r="T13" i="1"/>
  <c r="S13" i="1" s="1" a="1"/>
  <c r="S13" i="1" s="1"/>
  <c r="T14" i="1"/>
  <c r="S14" i="1" s="1" a="1"/>
  <c r="S14" i="1" s="1"/>
  <c r="T15" i="1"/>
  <c r="S15" i="1" s="1" a="1"/>
  <c r="S15" i="1" s="1"/>
  <c r="T16" i="1"/>
  <c r="S16" i="1" s="1" a="1"/>
  <c r="S16" i="1" s="1"/>
  <c r="T17" i="1"/>
  <c r="S17" i="1" s="1" a="1"/>
  <c r="S17" i="1" s="1"/>
  <c r="T18" i="1"/>
  <c r="S18" i="1" s="1" a="1"/>
  <c r="S18" i="1" s="1"/>
  <c r="T19" i="1"/>
  <c r="S19" i="1" s="1" a="1"/>
  <c r="S19" i="1" s="1"/>
  <c r="T20" i="1"/>
  <c r="S20" i="1" s="1" a="1"/>
  <c r="S20" i="1" s="1"/>
  <c r="T21" i="1"/>
  <c r="S21" i="1" s="1" a="1"/>
  <c r="S21" i="1" s="1"/>
  <c r="T22" i="1"/>
  <c r="S22" i="1" s="1" a="1"/>
  <c r="S22" i="1" s="1"/>
  <c r="T23" i="1"/>
  <c r="S23" i="1" s="1" a="1"/>
  <c r="S23" i="1" s="1"/>
  <c r="T24" i="1"/>
  <c r="S24" i="1" s="1" a="1"/>
  <c r="S24" i="1" s="1"/>
  <c r="T25" i="1"/>
  <c r="S25" i="1" s="1" a="1"/>
  <c r="S25" i="1" s="1"/>
  <c r="T26" i="1"/>
  <c r="S26" i="1" s="1" a="1"/>
  <c r="S26" i="1" s="1"/>
  <c r="T27" i="1"/>
  <c r="S27" i="1" s="1" a="1"/>
  <c r="S27" i="1" s="1"/>
  <c r="T28" i="1"/>
  <c r="S28" i="1" s="1" a="1"/>
  <c r="S28" i="1" s="1"/>
  <c r="T29" i="1"/>
  <c r="S29" i="1" s="1" a="1"/>
  <c r="S29" i="1" s="1"/>
  <c r="T30" i="1"/>
  <c r="S30" i="1" s="1" a="1"/>
  <c r="S30" i="1" s="1"/>
  <c r="T31" i="1"/>
  <c r="S31" i="1" s="1" a="1"/>
  <c r="S31" i="1" s="1"/>
  <c r="T32" i="1"/>
  <c r="S32" i="1" s="1" a="1"/>
  <c r="S32" i="1" s="1"/>
  <c r="T33" i="1"/>
  <c r="S33" i="1" s="1" a="1"/>
  <c r="S33" i="1" s="1"/>
  <c r="T34" i="1"/>
  <c r="S34" i="1" s="1" a="1"/>
  <c r="S34" i="1" s="1"/>
  <c r="T35" i="1"/>
  <c r="S35" i="1" s="1" a="1"/>
  <c r="S35" i="1" s="1"/>
  <c r="T36" i="1"/>
  <c r="S36" i="1" s="1" a="1"/>
  <c r="S36" i="1" s="1"/>
  <c r="T37" i="1"/>
  <c r="S37" i="1" s="1" a="1"/>
  <c r="S37" i="1" s="1"/>
  <c r="T38" i="1"/>
  <c r="S38" i="1" s="1" a="1"/>
  <c r="S38" i="1" s="1"/>
  <c r="T39" i="1"/>
  <c r="S39" i="1" s="1" a="1"/>
  <c r="S39" i="1" s="1"/>
  <c r="T40" i="1"/>
  <c r="S40" i="1" s="1" a="1"/>
  <c r="S40" i="1" s="1"/>
  <c r="T41" i="1"/>
  <c r="S41" i="1" s="1" a="1"/>
  <c r="S41" i="1" s="1"/>
  <c r="T42" i="1"/>
  <c r="S42" i="1" s="1" a="1"/>
  <c r="S42" i="1" s="1"/>
  <c r="T43" i="1"/>
  <c r="S43" i="1" s="1" a="1"/>
  <c r="S43" i="1" s="1"/>
  <c r="T44" i="1"/>
  <c r="S44" i="1" s="1" a="1"/>
  <c r="S44" i="1" s="1"/>
  <c r="T45" i="1"/>
  <c r="S45" i="1" s="1" a="1"/>
  <c r="S45" i="1" s="1"/>
  <c r="T46" i="1"/>
  <c r="S46" i="1" s="1" a="1"/>
  <c r="S46" i="1" s="1"/>
  <c r="T47" i="1"/>
  <c r="S47" i="1" s="1" a="1"/>
  <c r="S47" i="1" s="1"/>
  <c r="T48" i="1"/>
  <c r="S48" i="1" s="1" a="1"/>
  <c r="S48" i="1" s="1"/>
  <c r="T49" i="1"/>
  <c r="S49" i="1" s="1" a="1"/>
  <c r="S49" i="1" s="1"/>
  <c r="T50" i="1"/>
  <c r="S50" i="1" s="1" a="1"/>
  <c r="S50" i="1" s="1"/>
  <c r="T51" i="1"/>
  <c r="S51" i="1" s="1" a="1"/>
  <c r="S51" i="1" s="1"/>
  <c r="T52" i="1"/>
  <c r="S52" i="1" s="1" a="1"/>
  <c r="S52" i="1" s="1"/>
  <c r="T53" i="1"/>
  <c r="S53" i="1" s="1" a="1"/>
  <c r="S53" i="1" s="1"/>
  <c r="T54" i="1"/>
  <c r="S54" i="1" s="1" a="1"/>
  <c r="S54" i="1" s="1"/>
  <c r="T55" i="1"/>
  <c r="S55" i="1" s="1" a="1"/>
  <c r="S55" i="1" s="1"/>
  <c r="T56" i="1"/>
  <c r="S56" i="1" s="1" a="1"/>
  <c r="S56" i="1" s="1"/>
  <c r="T57" i="1"/>
  <c r="S57" i="1" s="1" a="1"/>
  <c r="S57" i="1" s="1"/>
  <c r="T58" i="1"/>
  <c r="S58" i="1" s="1" a="1"/>
  <c r="S58" i="1" s="1"/>
  <c r="T59" i="1"/>
  <c r="S59" i="1" s="1" a="1"/>
  <c r="S59" i="1" s="1"/>
  <c r="T60" i="1"/>
  <c r="S60" i="1" s="1" a="1"/>
  <c r="S60" i="1" s="1"/>
  <c r="T61" i="1"/>
  <c r="S61" i="1" s="1" a="1"/>
  <c r="S61" i="1" s="1"/>
  <c r="T62" i="1"/>
  <c r="S62" i="1" s="1" a="1"/>
  <c r="S62" i="1" s="1"/>
  <c r="T63" i="1"/>
  <c r="S63" i="1" s="1" a="1"/>
  <c r="S63" i="1" s="1"/>
  <c r="T64" i="1"/>
  <c r="S64" i="1" s="1" a="1"/>
  <c r="S64" i="1" s="1"/>
  <c r="T65" i="1"/>
  <c r="S65" i="1" s="1" a="1"/>
  <c r="S65" i="1" s="1"/>
  <c r="T66" i="1"/>
  <c r="S66" i="1" s="1" a="1"/>
  <c r="S66" i="1" s="1"/>
  <c r="T67" i="1"/>
  <c r="S67" i="1" s="1" a="1"/>
  <c r="S67" i="1" s="1"/>
  <c r="T68" i="1"/>
  <c r="S68" i="1" s="1" a="1"/>
  <c r="S68" i="1" s="1"/>
  <c r="T69" i="1"/>
  <c r="S69" i="1" s="1" a="1"/>
  <c r="S69" i="1" s="1"/>
  <c r="T70" i="1"/>
  <c r="S70" i="1" s="1" a="1"/>
  <c r="S70" i="1" s="1"/>
  <c r="T71" i="1"/>
  <c r="S71" i="1" s="1" a="1"/>
  <c r="S71" i="1" s="1"/>
  <c r="T72" i="1"/>
  <c r="S72" i="1" s="1" a="1"/>
  <c r="S72" i="1" s="1"/>
  <c r="T73" i="1"/>
  <c r="S73" i="1" s="1" a="1"/>
  <c r="S73" i="1" s="1"/>
  <c r="T74" i="1"/>
  <c r="S74" i="1" s="1" a="1"/>
  <c r="S74" i="1" s="1"/>
  <c r="T75" i="1"/>
  <c r="S75" i="1" s="1" a="1"/>
  <c r="S75" i="1" s="1"/>
  <c r="T76" i="1"/>
  <c r="S76" i="1" s="1" a="1"/>
  <c r="S76" i="1" s="1"/>
  <c r="T77" i="1"/>
  <c r="S77" i="1" s="1" a="1"/>
  <c r="S77" i="1" s="1"/>
  <c r="T78" i="1"/>
  <c r="S78" i="1" s="1" a="1"/>
  <c r="S78" i="1" s="1"/>
  <c r="T79" i="1"/>
  <c r="S79" i="1" s="1" a="1"/>
  <c r="S79" i="1" s="1"/>
  <c r="T80" i="1"/>
  <c r="S80" i="1" s="1" a="1"/>
  <c r="S80" i="1" s="1"/>
  <c r="T81" i="1"/>
  <c r="S81" i="1" s="1" a="1"/>
  <c r="S81" i="1" s="1"/>
  <c r="T82" i="1"/>
  <c r="S82" i="1" s="1" a="1"/>
  <c r="S82" i="1" s="1"/>
  <c r="T83" i="1"/>
  <c r="S83" i="1" s="1" a="1"/>
  <c r="S83" i="1" s="1"/>
  <c r="T84" i="1"/>
  <c r="S84" i="1" s="1" a="1"/>
  <c r="S84" i="1" s="1"/>
  <c r="T85" i="1"/>
  <c r="S85" i="1" s="1" a="1"/>
  <c r="S85" i="1" s="1"/>
  <c r="T86" i="1"/>
  <c r="S86" i="1" s="1" a="1"/>
  <c r="S86" i="1" s="1"/>
  <c r="T87" i="1"/>
  <c r="S87" i="1" s="1" a="1"/>
  <c r="S87" i="1" s="1"/>
  <c r="T88" i="1"/>
  <c r="S88" i="1" s="1" a="1"/>
  <c r="S88" i="1" s="1"/>
  <c r="T89" i="1"/>
  <c r="S89" i="1" s="1" a="1"/>
  <c r="S89" i="1" s="1"/>
  <c r="T90" i="1"/>
  <c r="S90" i="1" s="1" a="1"/>
  <c r="S90" i="1" s="1"/>
  <c r="T91" i="1"/>
  <c r="S91" i="1" s="1" a="1"/>
  <c r="S91" i="1" s="1"/>
  <c r="T92" i="1"/>
  <c r="S92" i="1" s="1" a="1"/>
  <c r="S92" i="1" s="1"/>
  <c r="T93" i="1"/>
  <c r="S93" i="1" s="1" a="1"/>
  <c r="S93" i="1" s="1"/>
  <c r="T94" i="1"/>
  <c r="S94" i="1" s="1" a="1"/>
  <c r="S94" i="1" s="1"/>
  <c r="T95" i="1"/>
  <c r="S95" i="1" s="1" a="1"/>
  <c r="S95" i="1" s="1"/>
  <c r="T96" i="1"/>
  <c r="S96" i="1" s="1" a="1"/>
  <c r="S96" i="1" s="1"/>
  <c r="T97" i="1"/>
  <c r="S97" i="1" s="1" a="1"/>
  <c r="S97" i="1" s="1"/>
  <c r="T98" i="1"/>
  <c r="S98" i="1" s="1" a="1"/>
  <c r="S98" i="1" s="1"/>
  <c r="T99" i="1"/>
  <c r="S99" i="1" s="1" a="1"/>
  <c r="S99" i="1" s="1"/>
  <c r="T100" i="1"/>
  <c r="S100" i="1" s="1" a="1"/>
  <c r="S100" i="1" s="1"/>
  <c r="T101" i="1"/>
  <c r="S101" i="1" s="1" a="1"/>
  <c r="S101" i="1" s="1"/>
  <c r="T102" i="1"/>
  <c r="S102" i="1" s="1" a="1"/>
  <c r="S102" i="1" s="1"/>
  <c r="T103" i="1"/>
  <c r="S103" i="1" s="1" a="1"/>
  <c r="S103" i="1" s="1"/>
  <c r="T104" i="1"/>
  <c r="S104" i="1" s="1" a="1"/>
  <c r="S104" i="1" s="1"/>
  <c r="T105" i="1"/>
  <c r="S105" i="1" s="1" a="1"/>
  <c r="S105" i="1" s="1"/>
  <c r="T106" i="1"/>
  <c r="S106" i="1" s="1" a="1"/>
  <c r="S106" i="1" s="1"/>
  <c r="T107" i="1"/>
  <c r="S107" i="1" s="1" a="1"/>
  <c r="S107" i="1" s="1"/>
  <c r="T108" i="1"/>
  <c r="S108" i="1" s="1" a="1"/>
  <c r="S108" i="1" s="1"/>
  <c r="T109" i="1"/>
  <c r="S109" i="1" s="1" a="1"/>
  <c r="S109" i="1" s="1"/>
  <c r="T110" i="1"/>
  <c r="S110" i="1" s="1" a="1"/>
  <c r="S110" i="1" s="1"/>
  <c r="T111" i="1"/>
  <c r="S111" i="1" s="1" a="1"/>
  <c r="S111" i="1" s="1"/>
  <c r="T112" i="1"/>
  <c r="S112" i="1" s="1" a="1"/>
  <c r="S112" i="1" s="1"/>
  <c r="T113" i="1"/>
  <c r="S113" i="1" s="1" a="1"/>
  <c r="S113" i="1" s="1"/>
  <c r="T114" i="1"/>
  <c r="S114" i="1" s="1" a="1"/>
  <c r="S114" i="1" s="1"/>
  <c r="T115" i="1"/>
  <c r="S115" i="1" s="1" a="1"/>
  <c r="S115" i="1" s="1"/>
  <c r="T116" i="1"/>
  <c r="S116" i="1" s="1" a="1"/>
  <c r="S116" i="1" s="1"/>
  <c r="T117" i="1"/>
  <c r="S117" i="1" s="1" a="1"/>
  <c r="S117" i="1" s="1"/>
  <c r="T118" i="1"/>
  <c r="S118" i="1" s="1" a="1"/>
  <c r="S118" i="1" s="1"/>
  <c r="T119" i="1"/>
  <c r="S119" i="1" s="1" a="1"/>
  <c r="S119" i="1" s="1"/>
  <c r="T120" i="1"/>
  <c r="S120" i="1" s="1" a="1"/>
  <c r="S120" i="1" s="1"/>
  <c r="T121" i="1"/>
  <c r="S121" i="1" s="1" a="1"/>
  <c r="S121" i="1" s="1"/>
  <c r="T122" i="1"/>
  <c r="S122" i="1" s="1" a="1"/>
  <c r="S122" i="1" s="1"/>
  <c r="T123" i="1"/>
  <c r="S123" i="1" s="1" a="1"/>
  <c r="S123" i="1" s="1"/>
  <c r="T124" i="1"/>
  <c r="S124" i="1" s="1" a="1"/>
  <c r="S124" i="1" s="1"/>
  <c r="T125" i="1"/>
  <c r="S125" i="1" s="1" a="1"/>
  <c r="S125" i="1" s="1"/>
  <c r="T126" i="1"/>
  <c r="S126" i="1" s="1" a="1"/>
  <c r="S126" i="1" s="1"/>
  <c r="T127" i="1"/>
  <c r="S127" i="1" s="1" a="1"/>
  <c r="S127" i="1" s="1"/>
  <c r="T128" i="1"/>
  <c r="S128" i="1" s="1" a="1"/>
  <c r="S128" i="1" s="1"/>
  <c r="T129" i="1"/>
  <c r="S129" i="1" s="1" a="1"/>
  <c r="S129" i="1" s="1"/>
  <c r="T130" i="1"/>
  <c r="S130" i="1" s="1" a="1"/>
  <c r="S130" i="1" s="1"/>
  <c r="T131" i="1"/>
  <c r="T132" i="1"/>
  <c r="S132" i="1" s="1" a="1"/>
  <c r="S132" i="1" s="1"/>
  <c r="T133" i="1"/>
  <c r="S133" i="1" s="1" a="1"/>
  <c r="S133" i="1" s="1"/>
  <c r="T134" i="1"/>
  <c r="S134" i="1" s="1" a="1"/>
  <c r="S134" i="1" s="1"/>
  <c r="T135" i="1"/>
  <c r="S135" i="1" s="1" a="1"/>
  <c r="S135" i="1" s="1"/>
  <c r="T136" i="1"/>
  <c r="S136" i="1" s="1" a="1"/>
  <c r="S136" i="1" s="1"/>
  <c r="T137" i="1"/>
  <c r="S137" i="1" s="1" a="1"/>
  <c r="S137" i="1" s="1"/>
  <c r="T138" i="1"/>
  <c r="S138" i="1" s="1" a="1"/>
  <c r="S138" i="1" s="1"/>
  <c r="T139" i="1"/>
  <c r="S139" i="1" s="1" a="1"/>
  <c r="S139" i="1" s="1"/>
  <c r="T140" i="1"/>
  <c r="S140" i="1" s="1" a="1"/>
  <c r="S140" i="1" s="1"/>
  <c r="T141" i="1"/>
  <c r="S141" i="1" s="1" a="1"/>
  <c r="S141" i="1" s="1"/>
  <c r="T142" i="1"/>
  <c r="S142" i="1" s="1" a="1"/>
  <c r="S142" i="1" s="1"/>
  <c r="T143" i="1"/>
  <c r="S143" i="1" s="1" a="1"/>
  <c r="S143" i="1" s="1"/>
  <c r="T144" i="1"/>
  <c r="S144" i="1" s="1" a="1"/>
  <c r="S144" i="1" s="1"/>
  <c r="T145" i="1"/>
  <c r="S145" i="1" s="1" a="1"/>
  <c r="S145" i="1" s="1"/>
  <c r="T146" i="1"/>
  <c r="S146" i="1" s="1" a="1"/>
  <c r="S146" i="1" s="1"/>
  <c r="T147" i="1"/>
  <c r="S147" i="1" s="1" a="1"/>
  <c r="S147" i="1" s="1"/>
  <c r="T148" i="1"/>
  <c r="S148" i="1" s="1" a="1"/>
  <c r="S148" i="1" s="1"/>
  <c r="T149" i="1"/>
  <c r="S149" i="1" s="1" a="1"/>
  <c r="S149" i="1" s="1"/>
  <c r="T150" i="1"/>
  <c r="S150" i="1" s="1" a="1"/>
  <c r="S150" i="1" s="1"/>
  <c r="T151" i="1"/>
  <c r="S151" i="1" s="1" a="1"/>
  <c r="S151" i="1" s="1"/>
  <c r="T152" i="1"/>
  <c r="S152" i="1" s="1" a="1"/>
  <c r="S152" i="1" s="1"/>
  <c r="T153" i="1"/>
  <c r="S153" i="1" s="1" a="1"/>
  <c r="S153" i="1" s="1"/>
  <c r="T154" i="1"/>
  <c r="S154" i="1" s="1" a="1"/>
  <c r="S154" i="1" s="1"/>
  <c r="T155" i="1"/>
  <c r="S155" i="1" s="1" a="1"/>
  <c r="S155" i="1" s="1"/>
  <c r="T156" i="1"/>
  <c r="S156" i="1" s="1" a="1"/>
  <c r="S156" i="1" s="1"/>
  <c r="T157" i="1"/>
  <c r="S157" i="1" s="1" a="1"/>
  <c r="S157" i="1" s="1"/>
  <c r="T158" i="1"/>
  <c r="S158" i="1" s="1" a="1"/>
  <c r="S158" i="1" s="1"/>
  <c r="T159" i="1"/>
  <c r="S159" i="1" s="1" a="1"/>
  <c r="S159" i="1" s="1"/>
  <c r="T160" i="1"/>
  <c r="S160" i="1" s="1" a="1"/>
  <c r="S160" i="1" s="1"/>
  <c r="T161" i="1"/>
  <c r="S161" i="1" s="1" a="1"/>
  <c r="S161" i="1" s="1"/>
  <c r="T162" i="1"/>
  <c r="S162" i="1" s="1" a="1"/>
  <c r="S162" i="1" s="1"/>
  <c r="T163" i="1"/>
  <c r="S163" i="1" s="1" a="1"/>
  <c r="S163" i="1" s="1"/>
  <c r="T164" i="1"/>
  <c r="S164" i="1" s="1" a="1"/>
  <c r="S164" i="1" s="1"/>
  <c r="T165" i="1"/>
  <c r="T166" i="1"/>
  <c r="S166" i="1" s="1" a="1"/>
  <c r="S166" i="1" s="1"/>
  <c r="T167" i="1"/>
  <c r="S167" i="1" s="1" a="1"/>
  <c r="S167" i="1" s="1"/>
  <c r="T168" i="1"/>
  <c r="S168" i="1" s="1" a="1"/>
  <c r="S168" i="1" s="1"/>
  <c r="T169" i="1"/>
  <c r="S169" i="1" s="1" a="1"/>
  <c r="S169" i="1" s="1"/>
  <c r="T170" i="1"/>
  <c r="S170" i="1" s="1" a="1"/>
  <c r="S170" i="1" s="1"/>
  <c r="T171" i="1"/>
  <c r="S171" i="1" s="1" a="1"/>
  <c r="S171" i="1" s="1"/>
  <c r="T172" i="1"/>
  <c r="S172" i="1" s="1" a="1"/>
  <c r="S172" i="1" s="1"/>
  <c r="T173" i="1"/>
  <c r="S173" i="1" s="1" a="1"/>
  <c r="S173" i="1" s="1"/>
  <c r="T174" i="1"/>
  <c r="S174" i="1" s="1" a="1"/>
  <c r="S174" i="1" s="1"/>
  <c r="T175" i="1"/>
  <c r="S175" i="1" s="1" a="1"/>
  <c r="S175" i="1" s="1"/>
  <c r="T176" i="1"/>
  <c r="S176" i="1" s="1" a="1"/>
  <c r="S176" i="1" s="1"/>
  <c r="T177" i="1"/>
  <c r="S177" i="1" s="1" a="1"/>
  <c r="S177" i="1" s="1"/>
  <c r="T178" i="1"/>
  <c r="S178" i="1" s="1" a="1"/>
  <c r="S178" i="1" s="1"/>
  <c r="T179" i="1"/>
  <c r="S179" i="1" s="1" a="1"/>
  <c r="S179" i="1" s="1"/>
  <c r="T180" i="1"/>
  <c r="S180" i="1" s="1" a="1"/>
  <c r="S180" i="1" s="1"/>
  <c r="T181" i="1"/>
  <c r="S181" i="1" s="1" a="1"/>
  <c r="S181" i="1" s="1"/>
  <c r="T182" i="1"/>
  <c r="S182" i="1" s="1" a="1"/>
  <c r="S182" i="1" s="1"/>
  <c r="T183" i="1"/>
  <c r="S183" i="1" s="1" a="1"/>
  <c r="S183" i="1" s="1"/>
  <c r="T184" i="1"/>
  <c r="S184" i="1" s="1" a="1"/>
  <c r="S184" i="1" s="1"/>
  <c r="T185" i="1"/>
  <c r="S185" i="1" s="1" a="1"/>
  <c r="S185" i="1" s="1"/>
  <c r="T186" i="1"/>
  <c r="S186" i="1" s="1" a="1"/>
  <c r="S186" i="1" s="1"/>
  <c r="T187" i="1"/>
  <c r="S187" i="1" s="1" a="1"/>
  <c r="S187" i="1" s="1"/>
  <c r="T188" i="1"/>
  <c r="S188" i="1" s="1" a="1"/>
  <c r="S188" i="1" s="1"/>
  <c r="T189" i="1"/>
  <c r="S189" i="1" s="1" a="1"/>
  <c r="S189" i="1" s="1"/>
  <c r="T190" i="1"/>
  <c r="S190" i="1" s="1" a="1"/>
  <c r="S190" i="1" s="1"/>
  <c r="T191" i="1"/>
  <c r="S191" i="1" s="1" a="1"/>
  <c r="S191" i="1" s="1"/>
  <c r="T192" i="1"/>
  <c r="S192" i="1" s="1" a="1"/>
  <c r="S192" i="1" s="1"/>
  <c r="T193" i="1"/>
  <c r="S193" i="1" s="1" a="1"/>
  <c r="S193" i="1" s="1"/>
  <c r="T194" i="1"/>
  <c r="S194" i="1" s="1" a="1"/>
  <c r="S194" i="1" s="1"/>
  <c r="T195" i="1"/>
  <c r="S195" i="1" s="1" a="1"/>
  <c r="S195" i="1" s="1"/>
  <c r="T196" i="1"/>
  <c r="S196" i="1" s="1" a="1"/>
  <c r="S196" i="1" s="1"/>
  <c r="T197" i="1"/>
  <c r="S197" i="1" s="1" a="1"/>
  <c r="S197" i="1" s="1"/>
  <c r="T198" i="1"/>
  <c r="S198" i="1" s="1" a="1"/>
  <c r="S198" i="1" s="1"/>
  <c r="T199" i="1"/>
  <c r="S199" i="1" s="1" a="1"/>
  <c r="S199" i="1" s="1"/>
  <c r="T200" i="1"/>
  <c r="S200" i="1" s="1" a="1"/>
  <c r="S200" i="1" s="1"/>
  <c r="T201" i="1"/>
  <c r="S201" i="1" s="1" a="1"/>
  <c r="S201" i="1" s="1"/>
  <c r="T202" i="1"/>
  <c r="S202" i="1" s="1" a="1"/>
  <c r="S202" i="1" s="1"/>
  <c r="T203" i="1"/>
  <c r="S203" i="1" s="1" a="1"/>
  <c r="S203" i="1" s="1"/>
  <c r="T204" i="1"/>
  <c r="S204" i="1" s="1" a="1"/>
  <c r="S204" i="1" s="1"/>
  <c r="T205" i="1"/>
  <c r="S205" i="1" s="1" a="1"/>
  <c r="S205" i="1" s="1"/>
  <c r="T206" i="1"/>
  <c r="S206" i="1" s="1" a="1"/>
  <c r="S206" i="1" s="1"/>
  <c r="T207" i="1"/>
  <c r="S207" i="1" s="1" a="1"/>
  <c r="S207" i="1" s="1"/>
  <c r="T208" i="1"/>
  <c r="S208" i="1" s="1" a="1"/>
  <c r="S208" i="1" s="1"/>
  <c r="T209" i="1"/>
  <c r="S209" i="1" s="1" a="1"/>
  <c r="S209" i="1" s="1"/>
  <c r="T210" i="1"/>
  <c r="S210" i="1" s="1" a="1"/>
  <c r="S210" i="1" s="1"/>
  <c r="T211" i="1"/>
  <c r="S211" i="1" s="1" a="1"/>
  <c r="S211" i="1" s="1"/>
  <c r="T212" i="1"/>
  <c r="S212" i="1" s="1" a="1"/>
  <c r="S212" i="1" s="1"/>
  <c r="T213" i="1"/>
  <c r="S213" i="1" s="1" a="1"/>
  <c r="S213" i="1" s="1"/>
  <c r="T214" i="1"/>
  <c r="S214" i="1" s="1" a="1"/>
  <c r="S214" i="1" s="1"/>
  <c r="T215" i="1"/>
  <c r="S215" i="1" s="1" a="1"/>
  <c r="S215" i="1" s="1"/>
  <c r="T216" i="1"/>
  <c r="S216" i="1" s="1" a="1"/>
  <c r="S216" i="1" s="1"/>
  <c r="T217" i="1"/>
  <c r="S217" i="1" s="1" a="1"/>
  <c r="S217" i="1" s="1"/>
  <c r="T218" i="1"/>
  <c r="S218" i="1" s="1" a="1"/>
  <c r="S218" i="1" s="1"/>
  <c r="T219" i="1"/>
  <c r="S219" i="1" s="1" a="1"/>
  <c r="S219" i="1" s="1"/>
  <c r="T220" i="1"/>
  <c r="S220" i="1" s="1" a="1"/>
  <c r="S220" i="1" s="1"/>
  <c r="T221" i="1"/>
  <c r="S221" i="1" s="1" a="1"/>
  <c r="S221" i="1" s="1"/>
  <c r="T222" i="1"/>
  <c r="S222" i="1" s="1" a="1"/>
  <c r="S222" i="1" s="1"/>
  <c r="T223" i="1"/>
  <c r="S223" i="1" s="1" a="1"/>
  <c r="S223" i="1" s="1"/>
  <c r="T224" i="1"/>
  <c r="S224" i="1" s="1" a="1"/>
  <c r="S224" i="1" s="1"/>
  <c r="T225" i="1"/>
  <c r="S225" i="1" s="1" a="1"/>
  <c r="S225" i="1" s="1"/>
  <c r="T226" i="1"/>
  <c r="S226" i="1" s="1" a="1"/>
  <c r="S226" i="1" s="1"/>
  <c r="T227" i="1"/>
  <c r="S227" i="1" s="1" a="1"/>
  <c r="S227" i="1" s="1"/>
  <c r="T228" i="1"/>
  <c r="S228" i="1" s="1" a="1"/>
  <c r="S228" i="1" s="1"/>
  <c r="T229" i="1"/>
  <c r="S229" i="1" s="1" a="1"/>
  <c r="S229" i="1" s="1"/>
  <c r="T230" i="1"/>
  <c r="S230" i="1" s="1" a="1"/>
  <c r="S230" i="1" s="1"/>
  <c r="T231" i="1"/>
  <c r="S231" i="1" s="1" a="1"/>
  <c r="S231" i="1" s="1"/>
  <c r="T232" i="1"/>
  <c r="S232" i="1" s="1" a="1"/>
  <c r="S232" i="1" s="1"/>
  <c r="T233" i="1"/>
  <c r="S233" i="1" s="1" a="1"/>
  <c r="S233" i="1" s="1"/>
  <c r="T234" i="1"/>
  <c r="S234" i="1" s="1" a="1"/>
  <c r="S234" i="1" s="1"/>
  <c r="T235" i="1"/>
  <c r="S235" i="1" s="1" a="1"/>
  <c r="S235" i="1" s="1"/>
  <c r="T236" i="1"/>
  <c r="S236" i="1" s="1" a="1"/>
  <c r="S236" i="1" s="1"/>
  <c r="T237" i="1"/>
  <c r="S237" i="1" s="1" a="1"/>
  <c r="S237" i="1" s="1"/>
  <c r="T238" i="1"/>
  <c r="S238" i="1" s="1" a="1"/>
  <c r="S238" i="1" s="1"/>
  <c r="T239" i="1"/>
  <c r="S239" i="1" s="1" a="1"/>
  <c r="S239" i="1" s="1"/>
  <c r="T240" i="1"/>
  <c r="S240" i="1" s="1" a="1"/>
  <c r="S240" i="1" s="1"/>
  <c r="T241" i="1"/>
  <c r="S241" i="1" s="1" a="1"/>
  <c r="S241" i="1" s="1"/>
  <c r="T242" i="1"/>
  <c r="S242" i="1" s="1" a="1"/>
  <c r="S242" i="1" s="1"/>
  <c r="T243" i="1"/>
  <c r="S243" i="1" s="1" a="1"/>
  <c r="S243" i="1" s="1"/>
  <c r="T244" i="1"/>
  <c r="S244" i="1" s="1" a="1"/>
  <c r="S244" i="1" s="1"/>
  <c r="T245" i="1"/>
  <c r="S245" i="1" s="1" a="1"/>
  <c r="S245" i="1" s="1"/>
  <c r="T246" i="1"/>
  <c r="S246" i="1" s="1" a="1"/>
  <c r="S246" i="1" s="1"/>
  <c r="T247" i="1"/>
  <c r="S247" i="1" s="1" a="1"/>
  <c r="S247" i="1" s="1"/>
  <c r="T248" i="1"/>
  <c r="S248" i="1" s="1" a="1"/>
  <c r="S248" i="1" s="1"/>
  <c r="T249" i="1"/>
  <c r="S249" i="1" s="1" a="1"/>
  <c r="S249" i="1" s="1"/>
  <c r="T250" i="1"/>
  <c r="S250" i="1" s="1" a="1"/>
  <c r="S250" i="1" s="1"/>
  <c r="T251" i="1"/>
  <c r="S251" i="1" s="1" a="1"/>
  <c r="S251" i="1" s="1"/>
  <c r="T252" i="1"/>
  <c r="S252" i="1" s="1" a="1"/>
  <c r="S252" i="1" s="1"/>
  <c r="T253" i="1"/>
  <c r="S253" i="1" s="1" a="1"/>
  <c r="S253" i="1" s="1"/>
  <c r="T254" i="1"/>
  <c r="S254" i="1" s="1" a="1"/>
  <c r="S254" i="1" s="1"/>
  <c r="T255" i="1"/>
  <c r="S255" i="1" s="1" a="1"/>
  <c r="S255" i="1" s="1"/>
  <c r="T256" i="1"/>
  <c r="S256" i="1" s="1" a="1"/>
  <c r="S256" i="1" s="1"/>
  <c r="T257" i="1"/>
  <c r="S257" i="1" s="1" a="1"/>
  <c r="S257" i="1" s="1"/>
  <c r="T258" i="1"/>
  <c r="S258" i="1" s="1" a="1"/>
  <c r="S258" i="1" s="1"/>
  <c r="T259" i="1"/>
  <c r="S259" i="1" s="1" a="1"/>
  <c r="S259" i="1" s="1"/>
  <c r="T260" i="1"/>
  <c r="S260" i="1" s="1" a="1"/>
  <c r="S260" i="1" s="1"/>
  <c r="T261" i="1"/>
  <c r="S261" i="1" s="1" a="1"/>
  <c r="S261" i="1" s="1"/>
  <c r="T262" i="1"/>
  <c r="S262" i="1" s="1" a="1"/>
  <c r="S262" i="1" s="1"/>
  <c r="T263" i="1"/>
  <c r="S263" i="1" s="1" a="1"/>
  <c r="S263" i="1" s="1"/>
  <c r="T264" i="1"/>
  <c r="S264" i="1" s="1" a="1"/>
  <c r="S264" i="1" s="1"/>
  <c r="T265" i="1"/>
  <c r="S265" i="1" s="1" a="1"/>
  <c r="S265" i="1" s="1"/>
  <c r="T266" i="1"/>
  <c r="S266" i="1" s="1" a="1"/>
  <c r="S266" i="1" s="1"/>
  <c r="T267" i="1"/>
  <c r="S267" i="1" s="1" a="1"/>
  <c r="S267" i="1" s="1"/>
  <c r="T268" i="1"/>
  <c r="S268" i="1" s="1" a="1"/>
  <c r="S268" i="1" s="1"/>
  <c r="T269" i="1"/>
  <c r="S269" i="1" s="1" a="1"/>
  <c r="S269" i="1" s="1"/>
  <c r="T270" i="1"/>
  <c r="S270" i="1" s="1" a="1"/>
  <c r="S270" i="1" s="1"/>
  <c r="T271" i="1"/>
  <c r="S271" i="1" s="1" a="1"/>
  <c r="T272" i="1"/>
  <c r="S272" i="1" s="1" a="1"/>
  <c r="S272" i="1" s="1"/>
  <c r="T273" i="1"/>
  <c r="S273" i="1" s="1" a="1"/>
  <c r="S273" i="1" s="1"/>
  <c r="T274" i="1"/>
  <c r="S274" i="1" s="1" a="1"/>
  <c r="S274" i="1" s="1"/>
  <c r="T275" i="1"/>
  <c r="S275" i="1" s="1" a="1"/>
  <c r="S275" i="1" s="1"/>
  <c r="T276" i="1"/>
  <c r="S276" i="1" s="1" a="1"/>
  <c r="S276" i="1" s="1"/>
  <c r="T277" i="1"/>
  <c r="S277" i="1" s="1" a="1"/>
  <c r="S277" i="1" s="1"/>
  <c r="T278" i="1"/>
  <c r="S278" i="1" s="1" a="1"/>
  <c r="S278" i="1" s="1"/>
  <c r="T279" i="1"/>
  <c r="S279" i="1" s="1" a="1"/>
  <c r="S279" i="1" s="1"/>
  <c r="T280" i="1"/>
  <c r="S280" i="1" s="1" a="1"/>
  <c r="S280" i="1" s="1"/>
  <c r="T281" i="1"/>
  <c r="S281" i="1" s="1" a="1"/>
  <c r="S281" i="1" s="1"/>
  <c r="T282" i="1"/>
  <c r="S282" i="1" s="1" a="1"/>
  <c r="S282" i="1" s="1"/>
  <c r="T283" i="1"/>
  <c r="S283" i="1" s="1" a="1"/>
  <c r="S283" i="1" s="1"/>
  <c r="T284" i="1"/>
  <c r="S284" i="1" s="1" a="1"/>
  <c r="S284" i="1" s="1"/>
  <c r="T285" i="1"/>
  <c r="S285" i="1" s="1" a="1"/>
  <c r="S285" i="1" s="1"/>
  <c r="T286" i="1"/>
  <c r="S286" i="1" s="1" a="1"/>
  <c r="S286" i="1" s="1"/>
  <c r="T287" i="1"/>
  <c r="S287" i="1" s="1" a="1"/>
  <c r="S287" i="1" s="1"/>
  <c r="T288" i="1"/>
  <c r="S288" i="1" s="1" a="1"/>
  <c r="S288" i="1" s="1"/>
  <c r="T289" i="1"/>
  <c r="S289" i="1" s="1" a="1"/>
  <c r="S289" i="1" s="1"/>
  <c r="T290" i="1"/>
  <c r="S290" i="1" s="1" a="1"/>
  <c r="S290" i="1" s="1"/>
  <c r="T291" i="1"/>
  <c r="S291" i="1" s="1" a="1"/>
  <c r="S291" i="1" s="1"/>
  <c r="T292" i="1"/>
  <c r="S292" i="1" s="1" a="1"/>
  <c r="S292" i="1" s="1"/>
  <c r="T293" i="1"/>
  <c r="S293" i="1" s="1" a="1"/>
  <c r="S293" i="1" s="1"/>
  <c r="T294" i="1"/>
  <c r="S294" i="1" s="1" a="1"/>
  <c r="S294" i="1" s="1"/>
  <c r="T295" i="1"/>
  <c r="S295" i="1" s="1" a="1"/>
  <c r="S295" i="1" s="1"/>
  <c r="T296" i="1"/>
  <c r="S296" i="1" s="1" a="1"/>
  <c r="S296" i="1" s="1"/>
  <c r="T297" i="1"/>
  <c r="S297" i="1" s="1" a="1"/>
  <c r="S297" i="1" s="1"/>
  <c r="T298" i="1"/>
  <c r="S298" i="1" s="1" a="1"/>
  <c r="S298" i="1" s="1"/>
  <c r="T299" i="1"/>
  <c r="S299" i="1" s="1" a="1"/>
  <c r="S299" i="1" s="1"/>
  <c r="T300" i="1"/>
  <c r="S300" i="1" s="1" a="1"/>
  <c r="S300" i="1" s="1"/>
  <c r="T301" i="1"/>
  <c r="S301" i="1" s="1" a="1"/>
  <c r="S301" i="1" s="1"/>
  <c r="T302" i="1"/>
  <c r="S302" i="1" s="1" a="1"/>
  <c r="S302" i="1" s="1"/>
  <c r="T303" i="1"/>
  <c r="S303" i="1" s="1" a="1"/>
  <c r="S303" i="1" s="1"/>
  <c r="T304" i="1"/>
  <c r="S304" i="1" s="1" a="1"/>
  <c r="S304" i="1" s="1"/>
  <c r="T305" i="1"/>
  <c r="S305" i="1" s="1" a="1"/>
  <c r="S305" i="1" s="1"/>
  <c r="T306" i="1"/>
  <c r="S306" i="1" s="1" a="1"/>
  <c r="S306" i="1" s="1"/>
  <c r="T307" i="1"/>
  <c r="S307" i="1" s="1" a="1"/>
  <c r="S307" i="1" s="1"/>
  <c r="T308" i="1"/>
  <c r="S308" i="1" s="1" a="1"/>
  <c r="S308" i="1" s="1"/>
  <c r="T309" i="1"/>
  <c r="S309" i="1" s="1" a="1"/>
  <c r="S309" i="1" s="1"/>
  <c r="T310" i="1"/>
  <c r="S310" i="1" s="1" a="1"/>
  <c r="S310" i="1" s="1"/>
  <c r="T311" i="1"/>
  <c r="S311" i="1" s="1" a="1"/>
  <c r="S311" i="1" s="1"/>
  <c r="T312" i="1"/>
  <c r="S312" i="1" s="1" a="1"/>
  <c r="S312" i="1" s="1"/>
  <c r="T313" i="1"/>
  <c r="S313" i="1" s="1" a="1"/>
  <c r="S313" i="1" s="1"/>
  <c r="T314" i="1"/>
  <c r="S314" i="1" s="1" a="1"/>
  <c r="S314" i="1" s="1"/>
  <c r="T315" i="1"/>
  <c r="S315" i="1" s="1" a="1"/>
  <c r="S315" i="1" s="1"/>
  <c r="T316" i="1"/>
  <c r="S316" i="1" s="1" a="1"/>
  <c r="S316" i="1" s="1"/>
  <c r="T317" i="1"/>
  <c r="S317" i="1" s="1" a="1"/>
  <c r="S317" i="1" s="1"/>
  <c r="T318" i="1"/>
  <c r="S318" i="1" s="1" a="1"/>
  <c r="S318" i="1" s="1"/>
  <c r="T319" i="1"/>
  <c r="S319" i="1" s="1" a="1"/>
  <c r="S319" i="1" s="1"/>
  <c r="T320" i="1"/>
  <c r="S320" i="1" s="1" a="1"/>
  <c r="S320" i="1" s="1"/>
  <c r="T321" i="1"/>
  <c r="S321" i="1" s="1" a="1"/>
  <c r="S321" i="1" s="1"/>
  <c r="T322" i="1"/>
  <c r="S322" i="1" s="1" a="1"/>
  <c r="S322" i="1" s="1"/>
  <c r="T323" i="1"/>
  <c r="S323" i="1" s="1" a="1"/>
  <c r="S323" i="1" s="1"/>
  <c r="T324" i="1"/>
  <c r="S324" i="1" s="1" a="1"/>
  <c r="S324" i="1" s="1"/>
  <c r="T325" i="1"/>
  <c r="S325" i="1" s="1" a="1"/>
  <c r="S325" i="1" s="1"/>
  <c r="T326" i="1"/>
  <c r="S326" i="1" s="1" a="1"/>
  <c r="S326" i="1" s="1"/>
  <c r="T327" i="1"/>
  <c r="S327" i="1" s="1" a="1"/>
  <c r="S327" i="1" s="1"/>
  <c r="T328" i="1"/>
  <c r="S328" i="1" s="1" a="1"/>
  <c r="S328" i="1" s="1"/>
  <c r="T329" i="1"/>
  <c r="S329" i="1" s="1" a="1"/>
  <c r="S329" i="1" s="1"/>
  <c r="T330" i="1"/>
  <c r="S330" i="1" s="1" a="1"/>
  <c r="S330" i="1" s="1"/>
  <c r="T331" i="1"/>
  <c r="S331" i="1" s="1" a="1"/>
  <c r="S331" i="1" s="1"/>
  <c r="T332" i="1"/>
  <c r="S332" i="1" s="1" a="1"/>
  <c r="S332" i="1" s="1"/>
  <c r="T333" i="1"/>
  <c r="S333" i="1" s="1" a="1"/>
  <c r="S333" i="1" s="1"/>
  <c r="T334" i="1"/>
  <c r="S334" i="1" s="1" a="1"/>
  <c r="S334" i="1" s="1"/>
  <c r="T335" i="1"/>
  <c r="S335" i="1" s="1" a="1"/>
  <c r="S335" i="1" s="1"/>
  <c r="T336" i="1"/>
  <c r="S336" i="1" s="1" a="1"/>
  <c r="S336" i="1" s="1"/>
  <c r="T337" i="1"/>
  <c r="S337" i="1" s="1" a="1"/>
  <c r="S337" i="1" s="1"/>
  <c r="T338" i="1"/>
  <c r="S338" i="1" s="1" a="1"/>
  <c r="S338" i="1" s="1"/>
  <c r="T339" i="1"/>
  <c r="S339" i="1" s="1" a="1"/>
  <c r="S339" i="1" s="1"/>
  <c r="T340" i="1"/>
  <c r="S340" i="1" s="1" a="1"/>
  <c r="S340" i="1" s="1"/>
  <c r="T341" i="1"/>
  <c r="S341" i="1" s="1" a="1"/>
  <c r="S341" i="1" s="1"/>
  <c r="T342" i="1"/>
  <c r="S342" i="1" s="1" a="1"/>
  <c r="S342" i="1" s="1"/>
  <c r="T343" i="1"/>
  <c r="S343" i="1" s="1" a="1"/>
  <c r="S343" i="1" s="1"/>
  <c r="T344" i="1"/>
  <c r="S344" i="1" s="1" a="1"/>
  <c r="S344" i="1" s="1"/>
  <c r="T345" i="1"/>
  <c r="S345" i="1" s="1" a="1"/>
  <c r="S345" i="1" s="1"/>
  <c r="T346" i="1"/>
  <c r="S346" i="1" s="1" a="1"/>
  <c r="S346" i="1" s="1"/>
  <c r="T347" i="1"/>
  <c r="S347" i="1" s="1" a="1"/>
  <c r="S347" i="1" s="1"/>
  <c r="T348" i="1"/>
  <c r="S348" i="1" s="1" a="1"/>
  <c r="S348" i="1" s="1"/>
  <c r="T349" i="1"/>
  <c r="S349" i="1" s="1" a="1"/>
  <c r="S349" i="1" s="1"/>
  <c r="T350" i="1"/>
  <c r="S350" i="1" s="1" a="1"/>
  <c r="S350" i="1" s="1"/>
  <c r="T351" i="1"/>
  <c r="S351" i="1" s="1" a="1"/>
  <c r="S351" i="1" s="1"/>
  <c r="T352" i="1"/>
  <c r="S352" i="1" s="1" a="1"/>
  <c r="S352" i="1" s="1"/>
  <c r="T353" i="1"/>
  <c r="S353" i="1" s="1" a="1"/>
  <c r="S353" i="1" s="1"/>
  <c r="T354" i="1"/>
  <c r="S354" i="1" s="1" a="1"/>
  <c r="S354" i="1" s="1"/>
  <c r="T355" i="1"/>
  <c r="S355" i="1" s="1" a="1"/>
  <c r="S355" i="1" s="1"/>
  <c r="T356" i="1"/>
  <c r="S356" i="1" s="1" a="1"/>
  <c r="S356" i="1" s="1"/>
  <c r="T357" i="1"/>
  <c r="S357" i="1" s="1" a="1"/>
  <c r="S357" i="1" s="1"/>
  <c r="T358" i="1"/>
  <c r="S358" i="1" s="1" a="1"/>
  <c r="S358" i="1" s="1"/>
  <c r="T359" i="1"/>
  <c r="S359" i="1" s="1" a="1"/>
  <c r="S359" i="1" s="1"/>
  <c r="T360" i="1"/>
  <c r="T361" i="1"/>
  <c r="S361" i="1" s="1" a="1"/>
  <c r="S361" i="1" s="1"/>
  <c r="T362" i="1"/>
  <c r="S362" i="1" s="1" a="1"/>
  <c r="S362" i="1" s="1"/>
  <c r="T363" i="1"/>
  <c r="S363" i="1" s="1" a="1"/>
  <c r="S363" i="1" s="1"/>
  <c r="T364" i="1"/>
  <c r="S364" i="1" s="1" a="1"/>
  <c r="S364" i="1" s="1"/>
  <c r="T365" i="1"/>
  <c r="S365" i="1" s="1" a="1"/>
  <c r="S365" i="1" s="1"/>
  <c r="T366" i="1"/>
  <c r="S366" i="1" s="1" a="1"/>
  <c r="S366" i="1" s="1"/>
  <c r="T367" i="1"/>
  <c r="S367" i="1" s="1" a="1"/>
  <c r="S367" i="1" s="1"/>
  <c r="T368" i="1"/>
  <c r="S368" i="1" s="1" a="1"/>
  <c r="S368" i="1" s="1"/>
  <c r="T369" i="1"/>
  <c r="S369" i="1" s="1" a="1"/>
  <c r="S369" i="1" s="1"/>
  <c r="T370" i="1"/>
  <c r="S370" i="1" s="1" a="1"/>
  <c r="S370" i="1" s="1"/>
  <c r="T371" i="1"/>
  <c r="S371" i="1" s="1" a="1"/>
  <c r="S371" i="1" s="1"/>
  <c r="T372" i="1"/>
  <c r="S372" i="1" s="1" a="1"/>
  <c r="S372" i="1" s="1"/>
  <c r="T373" i="1"/>
  <c r="S373" i="1" s="1" a="1"/>
  <c r="S373" i="1" s="1"/>
  <c r="T374" i="1"/>
  <c r="S374" i="1" s="1" a="1"/>
  <c r="T375" i="1"/>
  <c r="S375" i="1" s="1" a="1"/>
  <c r="S375" i="1" s="1"/>
  <c r="T376" i="1"/>
  <c r="S376" i="1" s="1" a="1"/>
  <c r="S376" i="1" s="1"/>
  <c r="T377" i="1"/>
  <c r="S377" i="1" s="1" a="1"/>
  <c r="S377" i="1" s="1"/>
  <c r="T378" i="1"/>
  <c r="S378" i="1" s="1" a="1"/>
  <c r="S378" i="1" s="1"/>
  <c r="T379" i="1"/>
  <c r="S379" i="1" s="1" a="1"/>
  <c r="S379" i="1" s="1"/>
  <c r="T380" i="1"/>
  <c r="S380" i="1" s="1" a="1"/>
  <c r="S380" i="1" s="1"/>
  <c r="T381" i="1"/>
  <c r="S381" i="1" s="1" a="1"/>
  <c r="S381" i="1" s="1"/>
  <c r="T382" i="1"/>
  <c r="S382" i="1" s="1" a="1"/>
  <c r="S382" i="1" s="1"/>
  <c r="T383" i="1"/>
  <c r="S383" i="1" s="1" a="1"/>
  <c r="S383" i="1" s="1"/>
  <c r="T384" i="1"/>
  <c r="S384" i="1" s="1" a="1"/>
  <c r="S384" i="1" s="1"/>
  <c r="T385" i="1"/>
  <c r="S385" i="1" s="1" a="1"/>
  <c r="S385" i="1" s="1"/>
  <c r="T386" i="1"/>
  <c r="S386" i="1" s="1" a="1"/>
  <c r="S386" i="1" s="1"/>
  <c r="T387" i="1"/>
  <c r="S387" i="1" s="1" a="1"/>
  <c r="S387" i="1" s="1"/>
  <c r="T388" i="1"/>
  <c r="S388" i="1" s="1" a="1"/>
  <c r="S388" i="1" s="1"/>
  <c r="T389" i="1"/>
  <c r="S389" i="1" s="1" a="1"/>
  <c r="S389" i="1" s="1"/>
  <c r="T390" i="1"/>
  <c r="S390" i="1" s="1" a="1"/>
  <c r="S390" i="1" s="1"/>
  <c r="T391" i="1"/>
  <c r="S391" i="1" s="1" a="1"/>
  <c r="S391" i="1" s="1"/>
  <c r="T392" i="1"/>
  <c r="S392" i="1" s="1" a="1"/>
  <c r="S392" i="1" s="1"/>
  <c r="T393" i="1"/>
  <c r="S393" i="1" s="1" a="1"/>
  <c r="S393" i="1" s="1"/>
  <c r="T394" i="1"/>
  <c r="S394" i="1" s="1" a="1"/>
  <c r="S394" i="1" s="1"/>
  <c r="T395" i="1"/>
  <c r="S395" i="1" s="1" a="1"/>
  <c r="S395" i="1" s="1"/>
  <c r="T396" i="1"/>
  <c r="S396" i="1" s="1" a="1"/>
  <c r="S396" i="1" s="1"/>
  <c r="T397" i="1"/>
  <c r="S397" i="1" s="1" a="1"/>
  <c r="S397" i="1" s="1"/>
  <c r="T398" i="1"/>
  <c r="S398" i="1" s="1" a="1"/>
  <c r="S398" i="1" s="1"/>
  <c r="T399" i="1"/>
  <c r="S399" i="1" s="1" a="1"/>
  <c r="S399" i="1" s="1"/>
  <c r="T400" i="1"/>
  <c r="S400" i="1" s="1" a="1"/>
  <c r="S400" i="1" s="1"/>
  <c r="T401" i="1"/>
  <c r="S401" i="1" s="1" a="1"/>
  <c r="S401" i="1" s="1"/>
  <c r="T402" i="1"/>
  <c r="S402" i="1" s="1" a="1"/>
  <c r="S402" i="1" s="1"/>
  <c r="T403" i="1"/>
  <c r="S403" i="1" s="1" a="1"/>
  <c r="S403" i="1" s="1"/>
  <c r="T404" i="1"/>
  <c r="S404" i="1" s="1" a="1"/>
  <c r="S404" i="1" s="1"/>
  <c r="T405" i="1"/>
  <c r="S405" i="1" s="1" a="1"/>
  <c r="S405" i="1" s="1"/>
  <c r="T406" i="1"/>
  <c r="S406" i="1" s="1" a="1"/>
  <c r="S406" i="1" s="1"/>
  <c r="T407" i="1"/>
  <c r="S407" i="1" s="1" a="1"/>
  <c r="S407" i="1" s="1"/>
  <c r="T408" i="1"/>
  <c r="S408" i="1" s="1" a="1"/>
  <c r="S408" i="1" s="1"/>
  <c r="T409" i="1"/>
  <c r="S409" i="1" s="1" a="1"/>
  <c r="S409" i="1" s="1"/>
  <c r="T410" i="1"/>
  <c r="S410" i="1" s="1" a="1"/>
  <c r="S410" i="1" s="1"/>
  <c r="T411" i="1"/>
  <c r="S411" i="1" s="1" a="1"/>
  <c r="S411" i="1" s="1"/>
  <c r="T412" i="1"/>
  <c r="S412" i="1" s="1" a="1"/>
  <c r="S412" i="1" s="1"/>
  <c r="T413" i="1"/>
  <c r="S413" i="1" s="1" a="1"/>
  <c r="S413" i="1" s="1"/>
  <c r="T414" i="1"/>
  <c r="S414" i="1" s="1" a="1"/>
  <c r="S414" i="1" s="1"/>
  <c r="T415" i="1"/>
  <c r="S415" i="1" s="1" a="1"/>
  <c r="S415" i="1" s="1"/>
  <c r="T416" i="1"/>
  <c r="S416" i="1" s="1" a="1"/>
  <c r="S416" i="1" s="1"/>
  <c r="T417" i="1"/>
  <c r="S417" i="1" s="1" a="1"/>
  <c r="S417" i="1" s="1"/>
  <c r="T418" i="1"/>
  <c r="S418" i="1" s="1" a="1"/>
  <c r="S418" i="1" s="1"/>
  <c r="T419" i="1"/>
  <c r="S419" i="1" s="1" a="1"/>
  <c r="S419" i="1" s="1"/>
  <c r="T420" i="1"/>
  <c r="S420" i="1" s="1" a="1"/>
  <c r="S420" i="1" s="1"/>
  <c r="T421" i="1"/>
  <c r="S421" i="1" s="1" a="1"/>
  <c r="S421" i="1" s="1"/>
  <c r="T422" i="1"/>
  <c r="S422" i="1" s="1" a="1"/>
  <c r="S422" i="1" s="1"/>
  <c r="T423" i="1"/>
  <c r="S423" i="1" s="1" a="1"/>
  <c r="S423" i="1" s="1"/>
  <c r="T424" i="1"/>
  <c r="S424" i="1" s="1" a="1"/>
  <c r="S424" i="1" s="1"/>
  <c r="T425" i="1"/>
  <c r="S425" i="1" s="1" a="1"/>
  <c r="S425" i="1" s="1"/>
  <c r="T426" i="1"/>
  <c r="S426" i="1" s="1" a="1"/>
  <c r="S426" i="1" s="1"/>
  <c r="T427" i="1"/>
  <c r="S427" i="1" s="1" a="1"/>
  <c r="S427" i="1" s="1"/>
  <c r="T428" i="1"/>
  <c r="S428" i="1" s="1" a="1"/>
  <c r="S428" i="1" s="1"/>
  <c r="T429" i="1"/>
  <c r="S429" i="1" s="1" a="1"/>
  <c r="S429" i="1" s="1"/>
  <c r="T430" i="1"/>
  <c r="S430" i="1" s="1" a="1"/>
  <c r="S430" i="1" s="1"/>
  <c r="T431" i="1"/>
  <c r="S431" i="1" s="1" a="1"/>
  <c r="S431" i="1" s="1"/>
  <c r="T432" i="1"/>
  <c r="S432" i="1" s="1" a="1"/>
  <c r="S432" i="1" s="1"/>
  <c r="T433" i="1"/>
  <c r="S433" i="1" s="1" a="1"/>
  <c r="S433" i="1" s="1"/>
  <c r="T434" i="1"/>
  <c r="S434" i="1" s="1" a="1"/>
  <c r="S434" i="1" s="1"/>
  <c r="T435" i="1"/>
  <c r="S435" i="1" s="1" a="1"/>
  <c r="S435" i="1" s="1"/>
  <c r="T436" i="1"/>
  <c r="S436" i="1" s="1" a="1"/>
  <c r="S436" i="1" s="1"/>
  <c r="T437" i="1"/>
  <c r="S437" i="1" s="1" a="1"/>
  <c r="S437" i="1" s="1"/>
  <c r="T438" i="1"/>
  <c r="S438" i="1" s="1" a="1"/>
  <c r="S438" i="1" s="1"/>
  <c r="T439" i="1"/>
  <c r="S439" i="1" s="1" a="1"/>
  <c r="S439" i="1" s="1"/>
  <c r="T440" i="1"/>
  <c r="S440" i="1" s="1" a="1"/>
  <c r="S440" i="1" s="1"/>
  <c r="T441" i="1"/>
  <c r="S441" i="1" s="1" a="1"/>
  <c r="S441" i="1" s="1"/>
  <c r="T442" i="1"/>
  <c r="T443" i="1"/>
  <c r="S443" i="1" s="1" a="1"/>
  <c r="S443" i="1" s="1"/>
  <c r="T444" i="1"/>
  <c r="S444" i="1" s="1" a="1"/>
  <c r="S444" i="1" s="1"/>
  <c r="T445" i="1"/>
  <c r="S445" i="1" s="1" a="1"/>
  <c r="S445" i="1" s="1"/>
  <c r="T446" i="1"/>
  <c r="S446" i="1" s="1" a="1"/>
  <c r="S446" i="1" s="1"/>
  <c r="T447" i="1"/>
  <c r="S447" i="1" s="1" a="1"/>
  <c r="S447" i="1" s="1"/>
  <c r="T448" i="1"/>
  <c r="S448" i="1" s="1" a="1"/>
  <c r="S448" i="1" s="1"/>
  <c r="T449" i="1"/>
  <c r="S449" i="1" s="1" a="1"/>
  <c r="S449" i="1" s="1"/>
  <c r="T450" i="1"/>
  <c r="S450" i="1" s="1" a="1"/>
  <c r="S450" i="1" s="1"/>
  <c r="T451" i="1"/>
  <c r="S451" i="1" s="1" a="1"/>
  <c r="S451" i="1" s="1"/>
  <c r="T452" i="1"/>
  <c r="S452" i="1" s="1" a="1"/>
  <c r="S452" i="1" s="1"/>
  <c r="T453" i="1"/>
  <c r="S453" i="1" s="1" a="1"/>
  <c r="S453" i="1" s="1"/>
  <c r="T454" i="1"/>
  <c r="S454" i="1" s="1" a="1"/>
  <c r="S454" i="1" s="1"/>
  <c r="T455" i="1"/>
  <c r="S455" i="1" s="1" a="1"/>
  <c r="S455" i="1" s="1"/>
  <c r="T456" i="1"/>
  <c r="S456" i="1" s="1" a="1"/>
  <c r="S456" i="1" s="1"/>
  <c r="T457" i="1"/>
  <c r="S457" i="1" s="1" a="1"/>
  <c r="S457" i="1" s="1"/>
  <c r="T458" i="1"/>
  <c r="S458" i="1" s="1" a="1"/>
  <c r="S458" i="1" s="1"/>
  <c r="T459" i="1"/>
  <c r="S459" i="1" s="1" a="1"/>
  <c r="S459" i="1" s="1"/>
  <c r="T460" i="1"/>
  <c r="S460" i="1" s="1" a="1"/>
  <c r="S460" i="1" s="1"/>
  <c r="T461" i="1"/>
  <c r="T462" i="1"/>
  <c r="S462" i="1" s="1" a="1"/>
  <c r="S462" i="1" s="1"/>
  <c r="T463" i="1"/>
  <c r="S463" i="1" s="1" a="1"/>
  <c r="S463" i="1" s="1"/>
  <c r="T464" i="1"/>
  <c r="S464" i="1" s="1" a="1"/>
  <c r="S464" i="1" s="1"/>
  <c r="T465" i="1"/>
  <c r="S465" i="1" s="1" a="1"/>
  <c r="S465" i="1" s="1"/>
  <c r="T466" i="1"/>
  <c r="S466" i="1" s="1" a="1"/>
  <c r="S466" i="1" s="1"/>
  <c r="T467" i="1"/>
  <c r="T468" i="1"/>
  <c r="S468" i="1" s="1" a="1"/>
  <c r="S468" i="1" s="1"/>
  <c r="T469" i="1"/>
  <c r="S469" i="1" s="1" a="1"/>
  <c r="S469" i="1" s="1"/>
  <c r="T470" i="1"/>
  <c r="S470" i="1" s="1" a="1"/>
  <c r="S470" i="1" s="1"/>
  <c r="T471" i="1"/>
  <c r="S471" i="1" s="1" a="1"/>
  <c r="S471" i="1" s="1"/>
  <c r="T472" i="1"/>
  <c r="S472" i="1" s="1" a="1"/>
  <c r="S472" i="1" s="1"/>
  <c r="T473" i="1"/>
  <c r="S473" i="1" s="1" a="1"/>
  <c r="S473" i="1" s="1"/>
  <c r="T474" i="1"/>
  <c r="T475" i="1"/>
  <c r="S475" i="1" s="1" a="1"/>
  <c r="S475" i="1" s="1"/>
  <c r="T476" i="1"/>
  <c r="S476" i="1" s="1" a="1"/>
  <c r="S476" i="1" s="1"/>
  <c r="T477" i="1"/>
  <c r="S477" i="1" s="1" a="1"/>
  <c r="S477" i="1" s="1"/>
  <c r="T478" i="1"/>
  <c r="S478" i="1" s="1" a="1"/>
  <c r="S478" i="1" s="1"/>
  <c r="T479" i="1"/>
  <c r="S479" i="1" s="1" a="1"/>
  <c r="S479" i="1" s="1"/>
  <c r="T480" i="1"/>
  <c r="S480" i="1" s="1" a="1"/>
  <c r="S480" i="1" s="1"/>
  <c r="T481" i="1"/>
  <c r="S481" i="1" s="1" a="1"/>
  <c r="S481" i="1" s="1"/>
  <c r="T482" i="1"/>
  <c r="S482" i="1" s="1" a="1"/>
  <c r="S482" i="1" s="1"/>
  <c r="T483" i="1"/>
  <c r="S483" i="1" s="1" a="1"/>
  <c r="S483" i="1" s="1"/>
  <c r="T484" i="1"/>
  <c r="S484" i="1" s="1" a="1"/>
  <c r="S484" i="1" s="1"/>
  <c r="T485" i="1"/>
  <c r="S485" i="1" s="1" a="1"/>
  <c r="S485" i="1" s="1"/>
  <c r="T486" i="1"/>
  <c r="S486" i="1" s="1" a="1"/>
  <c r="S486" i="1" s="1"/>
  <c r="T487" i="1"/>
  <c r="S487" i="1" s="1" a="1"/>
  <c r="S487" i="1" s="1"/>
  <c r="T488" i="1"/>
  <c r="S488" i="1" s="1" a="1"/>
  <c r="S488" i="1" s="1"/>
  <c r="T489" i="1"/>
  <c r="S489" i="1" s="1" a="1"/>
  <c r="S489" i="1" s="1"/>
  <c r="T490" i="1"/>
  <c r="S490" i="1" s="1" a="1"/>
  <c r="S490" i="1" s="1"/>
  <c r="T491" i="1"/>
  <c r="S491" i="1" s="1" a="1"/>
  <c r="S491" i="1" s="1"/>
  <c r="T492" i="1"/>
  <c r="S492" i="1" s="1" a="1"/>
  <c r="S492" i="1" s="1"/>
  <c r="T493" i="1"/>
  <c r="T494" i="1"/>
  <c r="S494" i="1" s="1" a="1"/>
  <c r="S494" i="1" s="1"/>
  <c r="T495" i="1"/>
  <c r="S495" i="1" s="1" a="1"/>
  <c r="S495" i="1" s="1"/>
  <c r="T496" i="1"/>
  <c r="S496" i="1" s="1" a="1"/>
  <c r="S496" i="1" s="1"/>
  <c r="T497" i="1"/>
  <c r="S497" i="1" s="1" a="1"/>
  <c r="S497" i="1" s="1"/>
  <c r="T498" i="1"/>
  <c r="S498" i="1" s="1" a="1"/>
  <c r="S498" i="1" s="1"/>
  <c r="T499" i="1"/>
  <c r="T500" i="1"/>
  <c r="S500" i="1" s="1" a="1"/>
  <c r="S500" i="1" s="1"/>
  <c r="T501" i="1"/>
  <c r="S501" i="1" s="1" a="1"/>
  <c r="S501" i="1" s="1"/>
  <c r="T502" i="1"/>
  <c r="S502" i="1" s="1" a="1"/>
  <c r="S502" i="1" s="1"/>
  <c r="T503" i="1"/>
  <c r="S503" i="1" s="1" a="1"/>
  <c r="S503" i="1" s="1"/>
  <c r="T504" i="1"/>
  <c r="S504" i="1" s="1" a="1"/>
  <c r="S504" i="1" s="1"/>
  <c r="T505" i="1"/>
  <c r="S505" i="1" s="1" a="1"/>
  <c r="S505" i="1" s="1"/>
  <c r="T506" i="1"/>
  <c r="T507" i="1"/>
  <c r="S507" i="1" s="1" a="1"/>
  <c r="S507" i="1" s="1"/>
  <c r="T508" i="1"/>
  <c r="S508" i="1" s="1" a="1"/>
  <c r="S508" i="1" s="1"/>
  <c r="T509" i="1"/>
  <c r="S509" i="1" s="1" a="1"/>
  <c r="S509" i="1" s="1"/>
  <c r="T510" i="1"/>
  <c r="S510" i="1" s="1" a="1"/>
  <c r="S510" i="1" s="1"/>
  <c r="T511" i="1"/>
  <c r="S511" i="1" s="1" a="1"/>
  <c r="S511" i="1" s="1"/>
  <c r="T512" i="1"/>
  <c r="S512" i="1" s="1" a="1"/>
  <c r="S512" i="1" s="1"/>
  <c r="T513" i="1"/>
  <c r="S513" i="1" s="1" a="1"/>
  <c r="S513" i="1" s="1"/>
  <c r="T514" i="1"/>
  <c r="S514" i="1" s="1" a="1"/>
  <c r="S514" i="1" s="1"/>
  <c r="T515" i="1"/>
  <c r="S515" i="1" s="1" a="1"/>
  <c r="S515" i="1" s="1"/>
  <c r="T516" i="1"/>
  <c r="S516" i="1" s="1" a="1"/>
  <c r="S516" i="1" s="1"/>
  <c r="T517" i="1"/>
  <c r="S517" i="1" s="1" a="1"/>
  <c r="S517" i="1" s="1"/>
  <c r="T518" i="1"/>
  <c r="S518" i="1" s="1" a="1"/>
  <c r="S518" i="1" s="1"/>
  <c r="T519" i="1"/>
  <c r="S519" i="1" s="1" a="1"/>
  <c r="S519" i="1" s="1"/>
  <c r="T520" i="1"/>
  <c r="S520" i="1" s="1" a="1"/>
  <c r="S520" i="1" s="1"/>
  <c r="T521" i="1"/>
  <c r="S521" i="1" s="1" a="1"/>
  <c r="S521" i="1" s="1"/>
  <c r="T522" i="1"/>
  <c r="S522" i="1" s="1" a="1"/>
  <c r="S522" i="1" s="1"/>
  <c r="T523" i="1"/>
  <c r="S523" i="1" s="1" a="1"/>
  <c r="S523" i="1" s="1"/>
  <c r="T524" i="1"/>
  <c r="S524" i="1" s="1" a="1"/>
  <c r="S524" i="1" s="1"/>
  <c r="T525" i="1"/>
  <c r="T526" i="1"/>
  <c r="S526" i="1" s="1" a="1"/>
  <c r="S526" i="1" s="1"/>
  <c r="T527" i="1"/>
  <c r="S527" i="1" s="1" a="1"/>
  <c r="S527" i="1" s="1"/>
  <c r="T528" i="1"/>
  <c r="S528" i="1" s="1" a="1"/>
  <c r="S528" i="1" s="1"/>
  <c r="T529" i="1"/>
  <c r="S529" i="1" s="1" a="1"/>
  <c r="S529" i="1" s="1"/>
  <c r="T530" i="1"/>
  <c r="T531" i="1"/>
  <c r="S531" i="1" s="1" a="1"/>
  <c r="S531" i="1" s="1"/>
  <c r="T532" i="1"/>
  <c r="S532" i="1" s="1" a="1"/>
  <c r="S532" i="1" s="1"/>
  <c r="T533" i="1"/>
  <c r="S533" i="1" s="1" a="1"/>
  <c r="S533" i="1" s="1"/>
  <c r="T534" i="1"/>
  <c r="S534" i="1" s="1" a="1"/>
  <c r="S534" i="1" s="1"/>
  <c r="T535" i="1"/>
  <c r="T536" i="1"/>
  <c r="S536" i="1" s="1" a="1"/>
  <c r="S536" i="1" s="1"/>
  <c r="T537" i="1"/>
  <c r="S537" i="1" s="1" a="1"/>
  <c r="S537" i="1" s="1"/>
  <c r="T538" i="1"/>
  <c r="S538" i="1" s="1" a="1"/>
  <c r="S538" i="1" s="1"/>
  <c r="T539" i="1"/>
  <c r="S539" i="1" s="1" a="1"/>
  <c r="S539" i="1" s="1"/>
  <c r="T540" i="1"/>
  <c r="S540" i="1" s="1" a="1"/>
  <c r="S540" i="1" s="1"/>
  <c r="T541" i="1"/>
  <c r="T542" i="1"/>
  <c r="S542" i="1" s="1" a="1"/>
  <c r="S542" i="1" s="1"/>
  <c r="T543" i="1"/>
  <c r="S543" i="1" s="1" a="1"/>
  <c r="S543" i="1" s="1"/>
  <c r="T544" i="1"/>
  <c r="S544" i="1" s="1" a="1"/>
  <c r="S544" i="1" s="1"/>
  <c r="T545" i="1"/>
  <c r="S545" i="1" s="1" a="1"/>
  <c r="S545" i="1" s="1"/>
  <c r="T546" i="1"/>
  <c r="T547" i="1"/>
  <c r="S547" i="1" s="1" a="1"/>
  <c r="S547" i="1" s="1"/>
  <c r="T548" i="1"/>
  <c r="S548" i="1" s="1" a="1"/>
  <c r="S548" i="1" s="1"/>
  <c r="T549" i="1"/>
  <c r="S549" i="1" s="1" a="1"/>
  <c r="S549" i="1" s="1"/>
  <c r="T550" i="1"/>
  <c r="S550" i="1" s="1" a="1"/>
  <c r="S550" i="1" s="1"/>
  <c r="T551" i="1"/>
  <c r="T552" i="1"/>
  <c r="S552" i="1" s="1" a="1"/>
  <c r="S552" i="1" s="1"/>
  <c r="T553" i="1"/>
  <c r="S553" i="1" s="1" a="1"/>
  <c r="S553" i="1" s="1"/>
  <c r="T554" i="1"/>
  <c r="S554" i="1" s="1" a="1"/>
  <c r="S554" i="1" s="1"/>
  <c r="T555" i="1"/>
  <c r="S555" i="1" s="1" a="1"/>
  <c r="S555" i="1" s="1"/>
  <c r="T556" i="1"/>
  <c r="S556" i="1" s="1" a="1"/>
  <c r="S556" i="1" s="1"/>
  <c r="T557" i="1"/>
  <c r="T558" i="1"/>
  <c r="S558" i="1" s="1" a="1"/>
  <c r="S558" i="1" s="1"/>
  <c r="T559" i="1"/>
  <c r="S559" i="1" s="1" a="1"/>
  <c r="S559" i="1" s="1"/>
  <c r="T560" i="1"/>
  <c r="S560" i="1" s="1" a="1"/>
  <c r="S560" i="1" s="1"/>
  <c r="T561" i="1"/>
  <c r="S561" i="1" s="1" a="1"/>
  <c r="S561" i="1" s="1"/>
  <c r="T562" i="1"/>
  <c r="T563" i="1"/>
  <c r="S563" i="1" s="1" a="1"/>
  <c r="S563" i="1" s="1"/>
  <c r="T564" i="1"/>
  <c r="S564" i="1" s="1" a="1"/>
  <c r="S564" i="1" s="1"/>
  <c r="T565" i="1"/>
  <c r="S565" i="1" s="1" a="1"/>
  <c r="S565" i="1" s="1"/>
  <c r="T566" i="1"/>
  <c r="S566" i="1" s="1" a="1"/>
  <c r="S566" i="1" s="1"/>
  <c r="T567" i="1"/>
  <c r="T568" i="1"/>
  <c r="S568" i="1" s="1" a="1"/>
  <c r="S568" i="1" s="1"/>
  <c r="T569" i="1"/>
  <c r="S569" i="1" s="1" a="1"/>
  <c r="S569" i="1" s="1"/>
  <c r="T570" i="1"/>
  <c r="S570" i="1" s="1" a="1"/>
  <c r="S570" i="1" s="1"/>
  <c r="T571" i="1"/>
  <c r="S571" i="1" s="1" a="1"/>
  <c r="S571" i="1" s="1"/>
  <c r="T572" i="1"/>
  <c r="S572" i="1" s="1" a="1"/>
  <c r="S572" i="1" s="1"/>
  <c r="T573" i="1"/>
  <c r="T574" i="1"/>
  <c r="S574" i="1" s="1" a="1"/>
  <c r="S574" i="1" s="1"/>
  <c r="T575" i="1"/>
  <c r="S575" i="1" s="1" a="1"/>
  <c r="S575" i="1" s="1"/>
  <c r="T576" i="1"/>
  <c r="S576" i="1" s="1" a="1"/>
  <c r="S576" i="1" s="1"/>
  <c r="T577" i="1"/>
  <c r="S577" i="1" s="1" a="1"/>
  <c r="S577" i="1" s="1"/>
  <c r="T578" i="1"/>
  <c r="T579" i="1"/>
  <c r="S579" i="1" s="1" a="1"/>
  <c r="S579" i="1" s="1"/>
  <c r="T580" i="1"/>
  <c r="S580" i="1" s="1" a="1"/>
  <c r="S580" i="1" s="1"/>
  <c r="T581" i="1"/>
  <c r="S581" i="1" s="1" a="1"/>
  <c r="S581" i="1" s="1"/>
  <c r="T582" i="1"/>
  <c r="S582" i="1" s="1" a="1"/>
  <c r="S582" i="1" s="1"/>
  <c r="T583" i="1"/>
  <c r="T584" i="1"/>
  <c r="S584" i="1" s="1" a="1"/>
  <c r="S584" i="1" s="1"/>
  <c r="T585" i="1"/>
  <c r="S585" i="1" s="1" a="1"/>
  <c r="S585" i="1" s="1"/>
  <c r="T586" i="1"/>
  <c r="S586" i="1" s="1" a="1"/>
  <c r="S586" i="1" s="1"/>
  <c r="T587" i="1"/>
  <c r="S587" i="1" s="1" a="1"/>
  <c r="S587" i="1" s="1"/>
  <c r="T588" i="1"/>
  <c r="S588" i="1" s="1" a="1"/>
  <c r="S588" i="1" s="1"/>
  <c r="T589" i="1"/>
  <c r="T590" i="1"/>
  <c r="S590" i="1" s="1" a="1"/>
  <c r="S590" i="1" s="1"/>
  <c r="T591" i="1"/>
  <c r="S591" i="1" s="1" a="1"/>
  <c r="S591" i="1" s="1"/>
  <c r="T592" i="1"/>
  <c r="S592" i="1" s="1" a="1"/>
  <c r="S592" i="1" s="1"/>
  <c r="T593" i="1"/>
  <c r="S593" i="1" s="1" a="1"/>
  <c r="S593" i="1" s="1"/>
  <c r="T594" i="1"/>
  <c r="T595" i="1"/>
  <c r="S595" i="1" s="1" a="1"/>
  <c r="S595" i="1" s="1"/>
  <c r="T596" i="1"/>
  <c r="S596" i="1" s="1" a="1"/>
  <c r="S596" i="1" s="1"/>
  <c r="T597" i="1"/>
  <c r="S597" i="1" s="1" a="1"/>
  <c r="S597" i="1" s="1"/>
  <c r="T598" i="1"/>
  <c r="S598" i="1" s="1" a="1"/>
  <c r="S598" i="1" s="1"/>
  <c r="T599" i="1"/>
  <c r="T600" i="1"/>
  <c r="S600" i="1" s="1" a="1"/>
  <c r="S600" i="1" s="1"/>
  <c r="T601" i="1"/>
  <c r="S601" i="1" s="1" a="1"/>
  <c r="S601" i="1" s="1"/>
  <c r="T602" i="1"/>
  <c r="S602" i="1" s="1" a="1"/>
  <c r="S602" i="1" s="1"/>
  <c r="T603" i="1"/>
  <c r="S603" i="1" s="1" a="1"/>
  <c r="S603" i="1" s="1"/>
  <c r="T604" i="1"/>
  <c r="S604" i="1" s="1" a="1"/>
  <c r="S604" i="1" s="1"/>
  <c r="T605" i="1"/>
  <c r="T606" i="1"/>
  <c r="S606" i="1" s="1" a="1"/>
  <c r="S606" i="1" s="1"/>
  <c r="T607" i="1"/>
  <c r="S607" i="1" s="1" a="1"/>
  <c r="S607" i="1" s="1"/>
  <c r="T608" i="1"/>
  <c r="S608" i="1" s="1" a="1"/>
  <c r="S608" i="1" s="1"/>
  <c r="T609" i="1"/>
  <c r="S609" i="1" s="1" a="1"/>
  <c r="S609" i="1" s="1"/>
  <c r="T610" i="1"/>
  <c r="T611" i="1"/>
  <c r="S611" i="1" s="1" a="1"/>
  <c r="S611" i="1" s="1"/>
  <c r="T612" i="1"/>
  <c r="S612" i="1" s="1" a="1"/>
  <c r="S612" i="1" s="1"/>
  <c r="T613" i="1"/>
  <c r="S613" i="1" s="1" a="1"/>
  <c r="S613" i="1" s="1"/>
  <c r="T614" i="1"/>
  <c r="S614" i="1" s="1" a="1"/>
  <c r="S614" i="1" s="1"/>
  <c r="T615" i="1"/>
  <c r="T616" i="1"/>
  <c r="S616" i="1" s="1" a="1"/>
  <c r="S616" i="1" s="1"/>
  <c r="T617" i="1"/>
  <c r="S617" i="1" s="1" a="1"/>
  <c r="S617" i="1" s="1"/>
  <c r="T618" i="1"/>
  <c r="S618" i="1" s="1" a="1"/>
  <c r="S618" i="1" s="1"/>
  <c r="T619" i="1"/>
  <c r="S619" i="1" s="1" a="1"/>
  <c r="S619" i="1" s="1"/>
  <c r="T620" i="1"/>
  <c r="S620" i="1" s="1" a="1"/>
  <c r="S620" i="1" s="1"/>
  <c r="T621" i="1"/>
  <c r="T622" i="1"/>
  <c r="S622" i="1" s="1" a="1"/>
  <c r="S622" i="1" s="1"/>
  <c r="T623" i="1"/>
  <c r="S623" i="1" s="1" a="1"/>
  <c r="S623" i="1" s="1"/>
  <c r="T624" i="1"/>
  <c r="S624" i="1" s="1" a="1"/>
  <c r="S624" i="1" s="1"/>
  <c r="T625" i="1"/>
  <c r="S625" i="1" s="1" a="1"/>
  <c r="S625" i="1" s="1"/>
  <c r="T626" i="1"/>
  <c r="T627" i="1"/>
  <c r="S627" i="1" s="1" a="1"/>
  <c r="S627" i="1" s="1"/>
  <c r="T628" i="1"/>
  <c r="S628" i="1" s="1" a="1"/>
  <c r="S628" i="1" s="1"/>
  <c r="T629" i="1"/>
  <c r="S629" i="1" s="1" a="1"/>
  <c r="S629" i="1" s="1"/>
  <c r="T630" i="1"/>
  <c r="S630" i="1" s="1" a="1"/>
  <c r="S630" i="1" s="1"/>
  <c r="T631" i="1"/>
  <c r="T632" i="1"/>
  <c r="S632" i="1" s="1" a="1"/>
  <c r="S632" i="1" s="1"/>
  <c r="T633" i="1"/>
  <c r="S633" i="1" s="1" a="1"/>
  <c r="S633" i="1" s="1"/>
  <c r="T634" i="1"/>
  <c r="S634" i="1" s="1" a="1"/>
  <c r="S634" i="1" s="1"/>
  <c r="T635" i="1"/>
  <c r="S635" i="1" s="1" a="1"/>
  <c r="S635" i="1" s="1"/>
  <c r="T636" i="1"/>
  <c r="S636" i="1" s="1" a="1"/>
  <c r="S636" i="1" s="1"/>
  <c r="T637" i="1"/>
  <c r="S637" i="1" s="1" a="1"/>
  <c r="S637" i="1" s="1"/>
  <c r="T638" i="1"/>
  <c r="S638" i="1" s="1" a="1"/>
  <c r="S638" i="1" s="1"/>
  <c r="T639" i="1"/>
  <c r="S639" i="1" s="1" a="1"/>
  <c r="S639" i="1" s="1"/>
  <c r="T640" i="1"/>
  <c r="T641" i="1"/>
  <c r="S641" i="1" s="1" a="1"/>
  <c r="S641" i="1" s="1"/>
  <c r="T642" i="1"/>
  <c r="S642" i="1" s="1" a="1"/>
  <c r="S642" i="1" s="1"/>
  <c r="T643" i="1"/>
  <c r="S643" i="1" s="1" a="1"/>
  <c r="S643" i="1" s="1"/>
  <c r="T644" i="1"/>
  <c r="S644" i="1" s="1" a="1"/>
  <c r="S644" i="1" s="1"/>
  <c r="T645" i="1"/>
  <c r="T646" i="1"/>
  <c r="S646" i="1" s="1" a="1"/>
  <c r="S646" i="1" s="1"/>
  <c r="T647" i="1"/>
  <c r="S647" i="1" s="1" a="1"/>
  <c r="S647" i="1" s="1"/>
  <c r="T648" i="1"/>
  <c r="S648" i="1" s="1" a="1"/>
  <c r="S648" i="1" s="1"/>
  <c r="T649" i="1"/>
  <c r="S649" i="1" s="1" a="1"/>
  <c r="S649" i="1" s="1"/>
  <c r="T650" i="1"/>
  <c r="S650" i="1" s="1" a="1"/>
  <c r="S650" i="1" s="1"/>
  <c r="T651" i="1"/>
  <c r="S651" i="1" s="1" a="1"/>
  <c r="S651" i="1" s="1"/>
  <c r="T652" i="1"/>
  <c r="S652" i="1" s="1" a="1"/>
  <c r="S652" i="1" s="1"/>
  <c r="T653" i="1"/>
  <c r="S653" i="1" s="1" a="1"/>
  <c r="S653" i="1" s="1"/>
  <c r="T654" i="1"/>
  <c r="T655" i="1"/>
  <c r="S655" i="1" s="1" a="1"/>
  <c r="S655" i="1" s="1"/>
  <c r="T656" i="1"/>
  <c r="S656" i="1" s="1" a="1"/>
  <c r="S656" i="1" s="1"/>
  <c r="T657" i="1"/>
  <c r="S657" i="1" s="1" a="1"/>
  <c r="S657" i="1" s="1"/>
  <c r="T658" i="1"/>
  <c r="S658" i="1" s="1" a="1"/>
  <c r="S658" i="1" s="1"/>
  <c r="T659" i="1"/>
  <c r="S659" i="1" s="1" a="1"/>
  <c r="S659" i="1" s="1"/>
  <c r="T660" i="1"/>
  <c r="S660" i="1" s="1" a="1"/>
  <c r="S660" i="1" s="1"/>
  <c r="T661" i="1"/>
  <c r="S661" i="1" s="1" a="1"/>
  <c r="S661" i="1" s="1"/>
  <c r="T662" i="1"/>
  <c r="S662" i="1" s="1" a="1"/>
  <c r="S662" i="1" s="1"/>
  <c r="T663" i="1"/>
  <c r="T664" i="1"/>
  <c r="S664" i="1" s="1" a="1"/>
  <c r="S664" i="1" s="1"/>
  <c r="T665" i="1"/>
  <c r="S665" i="1" s="1" a="1"/>
  <c r="S665" i="1" s="1"/>
  <c r="T666" i="1"/>
  <c r="S666" i="1" s="1" a="1"/>
  <c r="S666" i="1" s="1"/>
  <c r="T667" i="1"/>
  <c r="S667" i="1" s="1" a="1"/>
  <c r="S667" i="1" s="1"/>
  <c r="T668" i="1"/>
  <c r="S668" i="1" s="1" a="1"/>
  <c r="S668" i="1" s="1"/>
  <c r="T669" i="1"/>
  <c r="S669" i="1" s="1" a="1"/>
  <c r="S669" i="1" s="1"/>
  <c r="T670" i="1"/>
  <c r="S670" i="1" s="1" a="1"/>
  <c r="S670" i="1" s="1"/>
  <c r="T671" i="1"/>
  <c r="S671" i="1" s="1" a="1"/>
  <c r="S671" i="1" s="1"/>
  <c r="T672" i="1"/>
  <c r="T673" i="1"/>
  <c r="S673" i="1" s="1" a="1"/>
  <c r="S673" i="1" s="1"/>
  <c r="T674" i="1"/>
  <c r="S674" i="1" s="1" a="1"/>
  <c r="S674" i="1" s="1"/>
  <c r="T675" i="1"/>
  <c r="S675" i="1" s="1" a="1"/>
  <c r="S675" i="1" s="1"/>
  <c r="T676" i="1"/>
  <c r="S676" i="1" s="1" a="1"/>
  <c r="S676" i="1" s="1"/>
  <c r="T677" i="1"/>
  <c r="T678" i="1"/>
  <c r="S678" i="1" s="1" a="1"/>
  <c r="S678" i="1" s="1"/>
  <c r="T679" i="1"/>
  <c r="S679" i="1" s="1" a="1"/>
  <c r="S679" i="1" s="1"/>
  <c r="T680" i="1"/>
  <c r="S680" i="1" s="1" a="1"/>
  <c r="S680" i="1" s="1"/>
  <c r="T681" i="1"/>
  <c r="S681" i="1" s="1" a="1"/>
  <c r="S681" i="1" s="1"/>
  <c r="T682" i="1"/>
  <c r="S682" i="1" s="1" a="1"/>
  <c r="S682" i="1" s="1"/>
  <c r="T683" i="1"/>
  <c r="S683" i="1" s="1" a="1"/>
  <c r="S683" i="1" s="1"/>
  <c r="T684" i="1"/>
  <c r="S684" i="1" s="1" a="1"/>
  <c r="S684" i="1" s="1"/>
  <c r="T685" i="1"/>
  <c r="S685" i="1" s="1" a="1"/>
  <c r="S685" i="1" s="1"/>
  <c r="T686" i="1"/>
  <c r="T687" i="1"/>
  <c r="S687" i="1" s="1" a="1"/>
  <c r="S687" i="1" s="1"/>
  <c r="T688" i="1"/>
  <c r="S688" i="1" s="1" a="1"/>
  <c r="S688" i="1" s="1"/>
  <c r="T689" i="1"/>
  <c r="S689" i="1" s="1" a="1"/>
  <c r="S689" i="1" s="1"/>
  <c r="T690" i="1"/>
  <c r="S690" i="1" s="1" a="1"/>
  <c r="S690" i="1" s="1"/>
  <c r="T691" i="1"/>
  <c r="S691" i="1" s="1" a="1"/>
  <c r="S691" i="1" s="1"/>
  <c r="T692" i="1"/>
  <c r="S692" i="1" s="1" a="1"/>
  <c r="S692" i="1" s="1"/>
  <c r="T693" i="1"/>
  <c r="S693" i="1" s="1" a="1"/>
  <c r="S693" i="1" s="1"/>
  <c r="T694" i="1"/>
  <c r="S694" i="1" s="1" a="1"/>
  <c r="S694" i="1" s="1"/>
  <c r="T695" i="1"/>
  <c r="T696" i="1"/>
  <c r="S696" i="1" s="1" a="1"/>
  <c r="S696" i="1" s="1"/>
  <c r="T697" i="1"/>
  <c r="S697" i="1" s="1" a="1"/>
  <c r="S697" i="1" s="1"/>
  <c r="T698" i="1"/>
  <c r="S698" i="1" s="1" a="1"/>
  <c r="S698" i="1" s="1"/>
  <c r="T699" i="1"/>
  <c r="S699" i="1" s="1" a="1"/>
  <c r="T700" i="1"/>
  <c r="S700" i="1" s="1" a="1"/>
  <c r="S700" i="1" s="1"/>
  <c r="T701" i="1"/>
  <c r="S701" i="1" s="1" a="1"/>
  <c r="S701" i="1" s="1"/>
  <c r="T702" i="1"/>
  <c r="S702" i="1" s="1" a="1"/>
  <c r="S702" i="1" s="1"/>
  <c r="T703" i="1"/>
  <c r="S703" i="1" s="1" a="1"/>
  <c r="S703" i="1" s="1"/>
  <c r="T704" i="1"/>
  <c r="T705" i="1"/>
  <c r="S705" i="1" s="1" a="1"/>
  <c r="S705" i="1" s="1"/>
  <c r="T706" i="1"/>
  <c r="S706" i="1" s="1" a="1"/>
  <c r="S706" i="1" s="1"/>
  <c r="T707" i="1"/>
  <c r="S707" i="1" s="1" a="1"/>
  <c r="S707" i="1" s="1"/>
  <c r="T708" i="1"/>
  <c r="S708" i="1" s="1" a="1"/>
  <c r="S708" i="1" s="1"/>
  <c r="T709" i="1"/>
  <c r="T710" i="1"/>
  <c r="S710" i="1" s="1" a="1"/>
  <c r="S710" i="1" s="1"/>
  <c r="T711" i="1"/>
  <c r="S711" i="1" s="1" a="1"/>
  <c r="S711" i="1" s="1"/>
  <c r="T712" i="1"/>
  <c r="S712" i="1" s="1" a="1"/>
  <c r="S712" i="1" s="1"/>
  <c r="T713" i="1"/>
  <c r="S713" i="1" s="1" a="1"/>
  <c r="S713" i="1" s="1"/>
  <c r="T714" i="1"/>
  <c r="S714" i="1" s="1" a="1"/>
  <c r="S714" i="1" s="1"/>
  <c r="T715" i="1"/>
  <c r="S715" i="1" s="1" a="1"/>
  <c r="S715" i="1" s="1"/>
  <c r="T716" i="1"/>
  <c r="S716" i="1" s="1" a="1"/>
  <c r="S716" i="1" s="1"/>
  <c r="T717" i="1"/>
  <c r="S717" i="1" s="1" a="1"/>
  <c r="S717" i="1" s="1"/>
  <c r="T718" i="1"/>
  <c r="T719" i="1"/>
  <c r="S719" i="1" s="1" a="1"/>
  <c r="S719" i="1" s="1"/>
  <c r="T720" i="1"/>
  <c r="S720" i="1" s="1" a="1"/>
  <c r="S720" i="1" s="1"/>
  <c r="T721" i="1"/>
  <c r="S721" i="1" s="1" a="1"/>
  <c r="S721" i="1" s="1"/>
  <c r="T722" i="1"/>
  <c r="S722" i="1" s="1" a="1"/>
  <c r="S722" i="1" s="1"/>
  <c r="T723" i="1"/>
  <c r="S723" i="1" s="1" a="1"/>
  <c r="S723" i="1" s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<sst xmlns="http://schemas.openxmlformats.org/spreadsheetml/2006/main" count="38" uniqueCount="37">
  <si>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Date</t>
  </si>
  <si>
    <t>Lab ID</t>
  </si>
  <si>
    <t>Tier</t>
  </si>
  <si>
    <t>Subtype</t>
  </si>
  <si>
    <t>Symbol</t>
  </si>
  <si>
    <t>Mutation ID</t>
  </si>
  <si>
    <t>Start Time</t>
  </si>
  <si>
    <t>End Time</t>
  </si>
  <si>
    <t>Duration (mins)</t>
  </si>
  <si>
    <t>GDB Used</t>
  </si>
  <si>
    <t>Memory Tracing</t>
  </si>
  <si>
    <t>Diagram Made</t>
  </si>
  <si>
    <t>Anki Cards</t>
  </si>
  <si>
    <t>Lab Complete</t>
  </si>
  <si>
    <t>Execution Quality</t>
  </si>
  <si>
    <t>Difficulty</t>
  </si>
  <si>
    <t>GitHub PR Link</t>
  </si>
  <si>
    <t>GitHub Upload Status</t>
  </si>
  <si>
    <t>Metric</t>
  </si>
  <si>
    <t>Value</t>
  </si>
  <si>
    <t>Total Labs Completed</t>
  </si>
  <si>
    <t>Total Labs (with Mutations)</t>
  </si>
  <si>
    <t>Labs Pending</t>
  </si>
  <si>
    <t>Average Duration (mins)</t>
  </si>
  <si>
    <t>Avg Delay (hrs)</t>
  </si>
  <si>
    <t>Avg Difficulty</t>
  </si>
  <si>
    <t>Avg Quality</t>
  </si>
  <si>
    <t>GDB Usage %</t>
  </si>
  <si>
    <t>Memory Trace %</t>
  </si>
  <si>
    <t>Diagram Coverage %</t>
  </si>
  <si>
    <t>Anki Cards Total</t>
  </si>
  <si>
    <t>Efficiency (%)</t>
  </si>
  <si>
    <t>Estimated Completion Date</t>
  </si>
  <si>
    <t>yes</t>
  </si>
  <si>
    <t xml:space="preserve">Delay (mins)  </t>
  </si>
  <si>
    <t xml:space="preserve"> Push Timestamp  </t>
  </si>
  <si>
    <t>Avg Duration (mins/lab)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</si>
</sst>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21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23"/>
  <sheetViews>
    <sheetView tabSelected="1" workbookViewId="0">
      <selection activeCell="U6" sqref="U6"/>
    </sheetView>
  </sheetViews>
  <sheetFormatPr defaultRowHeight="15" x14ac:dyDescent="0.25"/>
  <cols>
    <col min="1" max="1" width="5.140625" style="2" bestFit="1" customWidth="1"/>
    <col min="2" max="2" width="6.28515625" style="2" bestFit="1" customWidth="1"/>
    <col min="3" max="3" width="4.42578125" style="2" bestFit="1" customWidth="1"/>
    <col min="4" max="4" width="8.28515625" style="2" bestFit="1" customWidth="1"/>
    <col min="5" max="5" width="7.5703125" style="2" bestFit="1" customWidth="1"/>
    <col min="6" max="6" width="11.5703125" style="2" bestFit="1" customWidth="1"/>
    <col min="7" max="7" width="9.85546875" style="2" bestFit="1" customWidth="1"/>
    <col min="8" max="8" width="15.42578125" style="2" bestFit="1" customWidth="1"/>
    <col min="9" max="9" width="14" style="2" bestFit="1" customWidth="1"/>
    <col min="10" max="10" width="10.28515625" style="2" bestFit="1" customWidth="1"/>
    <col min="11" max="11" width="16.7109375" style="2" bestFit="1" customWidth="1"/>
    <col min="12" max="12" width="9.140625" style="2" bestFit="1" customWidth="1"/>
    <col min="13" max="13" width="14.140625" style="2" bestFit="1" customWidth="1"/>
    <col min="14" max="14" width="20.28515625" style="2" bestFit="1" customWidth="1"/>
    <col min="15" max="15" width="13.28515625" style="2" bestFit="1" customWidth="1"/>
    <col min="16" max="16" width="10" style="2" bestFit="1" customWidth="1"/>
    <col min="17" max="17" width="9.140625" style="2"/>
    <col min="18" max="18" width="15" style="2" bestFit="1" customWidth="1"/>
    <col min="19" max="19" width="13.140625" style="2" bestFit="1" customWidth="1"/>
    <col min="20" max="20" width="17" style="2" bestFit="1" customWidth="1"/>
    <col min="21" max="21" width="22.5703125" style="2" bestFit="1" customWidth="1"/>
  </cols>
  <sheetData>
    <row r="1" spans="1:21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13</v>
      </c>
      <c r="P1" s="1" t="s">
        <v>6</v>
      </c>
      <c r="Q1" s="1" t="s">
        <v>7</v>
      </c>
      <c r="R1" s="1" t="s">
        <v>8</v>
      </c>
      <c r="S1" s="1" t="s">
        <v>34</v>
      </c>
      <c r="T1" s="1" t="s">
        <v>35</v>
      </c>
      <c r="U1" s="1" t="s">
        <v>36</v>
      </c>
    </row>
    <row r="2" spans="1:21" hidden="1" x14ac:dyDescent="0.25">
      <c r="P2" s="3"/>
      <c r="Q2" s="3"/>
      <c r="S2" s="2" t="str" cm="1">
        <f t="array" ref="S2">IF(N2&lt;&gt;"yes", "", IFERROR((T2 - LOOKUP(2,1/(N$1:N1="yes"), T$1:T1)) * 1440, ""))</f>
        <v/>
      </c>
      <c r="T2" s="2" t="str">
        <f t="shared" ref="T2:T65" ca="1" si="0">IF(N2="yes", NOW(), "")</f>
        <v/>
      </c>
      <c r="U2" s="2" t="str" cm="1">
        <f t="array" ref="U2">IF(N2&lt;&gt;"yes", "", IFERROR((T2 - INDEX(T$2:T2, MATCH(TRUE, INDEX((T$2:T2&lt;&gt;"")*(N$2:N2="yes"), 0), 0))) * 1440 / COUNTIF(N$2:N2, "yes"), ""))</f>
        <v/>
      </c>
    </row>
    <row r="3" spans="1:21" x14ac:dyDescent="0.25">
      <c r="B3" s="2">
        <v>1</v>
      </c>
      <c r="O3" s="2" t="s">
        <v>33</v>
      </c>
      <c r="P3" s="3">
        <v>0.92325231481481485</v>
      </c>
      <c r="Q3" s="3">
        <v>0.92329861111111111</v>
      </c>
      <c r="R3" s="2">
        <f>IF(AND(ISNUMBER(P3), ISNUMBER(Q3)), (Q3 - P3) * 24 * 60, "")</f>
        <v>6.6666666666623797E-2</v>
      </c>
      <c r="S3" s="2" t="str" cm="1">
        <f t="array" aca="1" ref="S3" ca="1">IF(T3&lt;&gt;"", IFERROR((T3 - MAX(_xlfn._xlws.FILTER(T$2:T2, N$2:N2 = "yes"))) * 24 * 60, ""), "")</f>
        <v/>
      </c>
      <c r="T3" s="2" t="str">
        <f t="shared" ca="1" si="0"/>
        <v/>
      </c>
      <c r="U3" s="2" t="str" cm="1">
        <f t="array" ref="U3">IF(N3&lt;&gt;"yes", "", IFERROR((T3 - INDEX(T$2:T3, MATCH(TRUE, INDEX((T$2:T3&lt;&gt;"")*(N$2:N3="yes"), 0), 0))) * 1440 / COUNTIF(N$2:N3, "yes"), ""))</f>
        <v/>
      </c>
    </row>
    <row r="4" spans="1:21" x14ac:dyDescent="0.25">
      <c r="B4" s="2">
        <v>1</v>
      </c>
      <c r="O4" s="2" t="s">
        <v>33</v>
      </c>
      <c r="P4" s="3">
        <v>0.92341435185185183</v>
      </c>
      <c r="Q4" s="3">
        <v>0.92344907407407406</v>
      </c>
      <c r="R4" s="2">
        <f t="shared" ref="R4:R67" si="1">IF(AND(ISNUMBER(P4), ISNUMBER(Q4)), (Q4 - P4) * 24 * 60, "")</f>
        <v>5.0000000000007816E-2</v>
      </c>
      <c r="S4" s="2" t="str" cm="1">
        <f t="array" aca="1" ref="S4" ca="1">IF(T4&lt;&gt;"", IFERROR((T4 - MAX(_xlfn._xlws.FILTER(T$2:T3, N$2:N3 = "yes"))) * 24 * 60, ""), "")</f>
        <v/>
      </c>
      <c r="T4" s="2" t="str">
        <f t="shared" ca="1" si="0"/>
        <v/>
      </c>
      <c r="U4" s="2" t="str" cm="1">
        <f t="array" ref="U4">IF(N4&lt;&gt;"yes", "", IFERROR((T4 - INDEX(T$2:T4, MATCH(TRUE, INDEX((T$2:T4&lt;&gt;"")*(N$2:N4="yes"), 0), 0))) * 1440 / COUNTIF(N$2:N4, "yes"), ""))</f>
        <v/>
      </c>
    </row>
    <row r="5" spans="1:21" x14ac:dyDescent="0.25">
      <c r="P5" s="3"/>
      <c r="Q5" s="3"/>
      <c r="R5" s="2" t="str">
        <f t="shared" si="1"/>
        <v/>
      </c>
      <c r="S5" s="2" t="str" cm="1">
        <f t="array" aca="1" ref="S5" ca="1">IF(T5&lt;&gt;"", IFERROR((T5 - MAX(_xlfn._xlws.FILTER(T$2:T4, N$2:N4 = "yes"))) * 24 * 60, ""), "")</f>
        <v/>
      </c>
      <c r="T5" s="2" t="str">
        <f t="shared" ca="1" si="0"/>
        <v/>
      </c>
      <c r="U5" s="2" t="str" cm="1">
        <f t="array" ref="U5">IF(N5&lt;&gt;"yes", "", IFERROR((T5 - INDEX(T$2:T5, MATCH(TRUE, INDEX((T$2:T5&lt;&gt;"")*(N$2:N5="yes"), 0), 0))) * 1440 / COUNTIF(N$2:N5, "yes"), ""))</f>
        <v/>
      </c>
    </row>
    <row r="6" spans="1:21" x14ac:dyDescent="0.25">
      <c r="P6" s="3"/>
      <c r="Q6" s="3"/>
      <c r="R6" s="2" t="str">
        <f t="shared" si="1"/>
        <v/>
      </c>
      <c r="S6" s="2" t="str" cm="1">
        <f t="array" aca="1" ref="S6" ca="1">IF(T6&lt;&gt;"", IFERROR((T6 - MAX(_xlfn._xlws.FILTER(T$2:T5, N$2:N5 = "yes"))) * 24 * 60, ""), "")</f>
        <v/>
      </c>
      <c r="T6" s="2" t="str">
        <f t="shared" ca="1" si="0"/>
        <v/>
      </c>
      <c r="U6" s="2" t="str" cm="1">
        <f t="array" ref="U6">IF(N6&lt;&gt;"yes", "", IFERROR((T6 - INDEX(T$2:T6, MATCH(TRUE, INDEX((T$2:T6&lt;&gt;"")*(N$2:N6="yes"), 0), 0))) * 1440 / COUNTIF(N$2:N6, "yes"), ""))</f>
        <v/>
      </c>
    </row>
    <row r="7" spans="1:21" x14ac:dyDescent="0.25">
      <c r="P7" s="3"/>
      <c r="Q7" s="3"/>
      <c r="R7" s="2" t="str">
        <f t="shared" si="1"/>
        <v/>
      </c>
      <c r="S7" s="2" t="str" cm="1">
        <f t="array" aca="1" ref="S7" ca="1">IF(T7&lt;&gt;"", IFERROR((T7 - MAX(_xlfn._xlws.FILTER(T$2:T6, N$2:N6 = "yes"))) * 24 * 60, ""), "")</f>
        <v/>
      </c>
      <c r="T7" s="2" t="str">
        <f t="shared" ca="1" si="0"/>
        <v/>
      </c>
      <c r="U7" s="2" t="str" cm="1">
        <f t="array" ref="U7">IF(N7&lt;&gt;"yes", "", IFERROR((T7 - INDEX(T$2:T7, MATCH(TRUE, INDEX((T$2:T7&lt;&gt;"")*(N$2:N7="yes"), 0), 0))) * 1440 / COUNTIF(N$2:N7, "yes"), ""))</f>
        <v/>
      </c>
    </row>
    <row r="8" spans="1:21" x14ac:dyDescent="0.25">
      <c r="P8" s="3"/>
      <c r="Q8" s="3"/>
      <c r="R8" s="2" t="str">
        <f t="shared" si="1"/>
        <v/>
      </c>
      <c r="S8" s="2" t="str" cm="1">
        <f t="array" aca="1" ref="S8" ca="1">IF(T8&lt;&gt;"", IFERROR((T8 - MAX(_xlfn._xlws.FILTER(T$2:T7, N$2:N7 = "yes"))) * 24 * 60, ""), "")</f>
        <v/>
      </c>
      <c r="T8" s="2" t="str">
        <f t="shared" ca="1" si="0"/>
        <v/>
      </c>
      <c r="U8" s="2" t="str" cm="1">
        <f t="array" ref="U8">IF(N8&lt;&gt;"yes", "", IFERROR((T8 - INDEX(T$2:T8, MATCH(TRUE, INDEX((T$2:T8&lt;&gt;"")*(N$2:N8="yes"), 0), 0))) * 1440 / COUNTIF(N$2:N8, "yes"), ""))</f>
        <v/>
      </c>
    </row>
    <row r="9" spans="1:21" x14ac:dyDescent="0.25">
      <c r="P9" s="3"/>
      <c r="Q9" s="3"/>
      <c r="R9" s="2" t="str">
        <f t="shared" si="1"/>
        <v/>
      </c>
      <c r="S9" s="2" t="str" cm="1">
        <f t="array" aca="1" ref="S9" ca="1">IF(T9&lt;&gt;"", IFERROR((T9 - MAX(_xlfn._xlws.FILTER(T$2:T8, N$2:N8 = "yes"))) * 24 * 60, ""), "")</f>
        <v/>
      </c>
      <c r="T9" s="2" t="str">
        <f t="shared" ca="1" si="0"/>
        <v/>
      </c>
      <c r="U9" s="2" t="str" cm="1">
        <f t="array" ref="U9">IF(N9&lt;&gt;"yes", "", IFERROR((T9 - INDEX(T$2:T9, MATCH(TRUE, INDEX((T$2:T9&lt;&gt;"")*(N$2:N9="yes"), 0), 0))) * 1440 / COUNTIF(N$2:N9, "yes"), ""))</f>
        <v/>
      </c>
    </row>
    <row r="10" spans="1:21" x14ac:dyDescent="0.25">
      <c r="P10" s="3"/>
      <c r="Q10" s="3"/>
      <c r="R10" s="2" t="str">
        <f t="shared" si="1"/>
        <v/>
      </c>
      <c r="S10" s="2" t="str" cm="1">
        <f t="array" aca="1" ref="S10" ca="1">IF(T10&lt;&gt;"", IFERROR((T10 - MAX(_xlfn._xlws.FILTER(T$2:T9, N$2:N9 = "yes"))) * 24 * 60, ""), "")</f>
        <v/>
      </c>
      <c r="T10" s="2" t="str">
        <f t="shared" ca="1" si="0"/>
        <v/>
      </c>
      <c r="U10" s="2" t="str" cm="1">
        <f t="array" ref="U10">IF(N10&lt;&gt;"yes", "", IFERROR((T10 - INDEX(T$2:T10, MATCH(TRUE, INDEX((T$2:T10&lt;&gt;"")*(N$2:N10="yes"), 0), 0))) * 1440 / COUNTIF(N$2:N10, "yes"), ""))</f>
        <v/>
      </c>
    </row>
    <row r="11" spans="1:21" x14ac:dyDescent="0.25">
      <c r="P11" s="3"/>
      <c r="Q11" s="3"/>
      <c r="R11" s="2" t="str">
        <f t="shared" si="1"/>
        <v/>
      </c>
      <c r="S11" s="2" t="str" cm="1">
        <f t="array" aca="1" ref="S11" ca="1">IF(T11&lt;&gt;"", IFERROR((T11 - MAX(_xlfn._xlws.FILTER(T$2:T10, N$2:N10 = "yes"))) * 24 * 60, ""), "")</f>
        <v/>
      </c>
      <c r="T11" s="2" t="str">
        <f t="shared" ca="1" si="0"/>
        <v/>
      </c>
      <c r="U11" s="2" t="str" cm="1">
        <f t="array" ref="U11">IF(N11&lt;&gt;"yes", "", IFERROR((T11 - INDEX(T$2:T11, MATCH(TRUE, INDEX((T$2:T11&lt;&gt;"")*(N$2:N11="yes"), 0), 0))) * 1440 / COUNTIF(N$2:N11, "yes"), ""))</f>
        <v/>
      </c>
    </row>
    <row r="12" spans="1:21" x14ac:dyDescent="0.25">
      <c r="P12" s="3"/>
      <c r="Q12" s="3"/>
      <c r="R12" s="2" t="str">
        <f t="shared" si="1"/>
        <v/>
      </c>
      <c r="S12" s="2" t="str" cm="1">
        <f t="array" aca="1" ref="S12" ca="1">IF(T12&lt;&gt;"", IFERROR((T12 - MAX(_xlfn._xlws.FILTER(T$2:T11, N$2:N11 = "yes"))) * 24 * 60, ""), "")</f>
        <v/>
      </c>
      <c r="T12" s="2" t="str">
        <f t="shared" ca="1" si="0"/>
        <v/>
      </c>
      <c r="U12" s="2" t="str" cm="1">
        <f t="array" ref="U12">IF(N12&lt;&gt;"yes", "", IFERROR((T12 - INDEX(T$2:T12, MATCH(TRUE, INDEX((T$2:T12&lt;&gt;"")*(N$2:N12="yes"), 0), 0))) * 1440 / COUNTIF(N$2:N12, "yes"), ""))</f>
        <v/>
      </c>
    </row>
    <row r="13" spans="1:21" x14ac:dyDescent="0.25">
      <c r="P13" s="3"/>
      <c r="Q13" s="3"/>
      <c r="R13" s="2" t="str">
        <f t="shared" si="1"/>
        <v/>
      </c>
      <c r="S13" s="2" t="str" cm="1">
        <f t="array" aca="1" ref="S13" ca="1">IF(T13&lt;&gt;"", IFERROR((T13 - MAX(_xlfn._xlws.FILTER(T$2:T12, N$2:N12 = "yes"))) * 24 * 60, ""), "")</f>
        <v/>
      </c>
      <c r="T13" s="2" t="str">
        <f t="shared" ca="1" si="0"/>
        <v/>
      </c>
      <c r="U13" s="2" t="str" cm="1">
        <f t="array" ref="U13">IF(N13&lt;&gt;"yes", "", IFERROR((T13 - INDEX(T$2:T13, MATCH(TRUE, INDEX((T$2:T13&lt;&gt;"")*(N$2:N13="yes"), 0), 0))) * 1440 / COUNTIF(N$2:N13, "yes"), ""))</f>
        <v/>
      </c>
    </row>
    <row r="14" spans="1:21" x14ac:dyDescent="0.25">
      <c r="P14" s="3"/>
      <c r="Q14" s="3"/>
      <c r="R14" s="2" t="str">
        <f t="shared" si="1"/>
        <v/>
      </c>
      <c r="S14" s="2" t="str" cm="1">
        <f t="array" aca="1" ref="S14" ca="1">IF(T14&lt;&gt;"", IFERROR((T14 - MAX(_xlfn._xlws.FILTER(T$2:T13, N$2:N13 = "yes"))) * 24 * 60, ""), "")</f>
        <v/>
      </c>
      <c r="T14" s="2" t="str">
        <f t="shared" ca="1" si="0"/>
        <v/>
      </c>
      <c r="U14" s="2" t="str" cm="1">
        <f t="array" ref="U14">IF(N14&lt;&gt;"yes", "", IFERROR((T14 - INDEX(T$2:T14, MATCH(TRUE, INDEX((T$2:T14&lt;&gt;"")*(N$2:N14="yes"), 0), 0))) * 1440 / COUNTIF(N$2:N14, "yes"), ""))</f>
        <v/>
      </c>
    </row>
    <row r="15" spans="1:21" x14ac:dyDescent="0.25">
      <c r="P15" s="3"/>
      <c r="Q15" s="3"/>
      <c r="R15" s="2" t="str">
        <f t="shared" si="1"/>
        <v/>
      </c>
      <c r="S15" s="2" t="str" cm="1">
        <f t="array" aca="1" ref="S15" ca="1">IF(T15&lt;&gt;"", IFERROR((T15 - MAX(_xlfn._xlws.FILTER(T$2:T14, N$2:N14 = "yes"))) * 24 * 60, ""), "")</f>
        <v/>
      </c>
      <c r="T15" s="2" t="str">
        <f t="shared" ca="1" si="0"/>
        <v/>
      </c>
      <c r="U15" s="2" t="str" cm="1">
        <f t="array" ref="U15">IF(N15&lt;&gt;"yes", "", IFERROR((T15 - INDEX(T$2:T15, MATCH(TRUE, INDEX((T$2:T15&lt;&gt;"")*(N$2:N15="yes"), 0), 0))) * 1440 / COUNTIF(N$2:N15, "yes"), ""))</f>
        <v/>
      </c>
    </row>
    <row r="16" spans="1:21" x14ac:dyDescent="0.25">
      <c r="P16" s="3"/>
      <c r="Q16" s="3"/>
      <c r="R16" s="2" t="str">
        <f t="shared" si="1"/>
        <v/>
      </c>
      <c r="S16" s="2" t="str" cm="1">
        <f t="array" aca="1" ref="S16" ca="1">IF(T16&lt;&gt;"", IFERROR((T16 - MAX(_xlfn._xlws.FILTER(T$2:T15, N$2:N15 = "yes"))) * 24 * 60, ""), "")</f>
        <v/>
      </c>
      <c r="T16" s="2" t="str">
        <f t="shared" ca="1" si="0"/>
        <v/>
      </c>
      <c r="U16" s="2" t="str" cm="1">
        <f t="array" ref="U16">IF(N16&lt;&gt;"yes", "", IFERROR((T16 - INDEX(T$2:T16, MATCH(TRUE, INDEX((T$2:T16&lt;&gt;"")*(N$2:N16="yes"), 0), 0))) * 1440 / COUNTIF(N$2:N16, "yes"), ""))</f>
        <v/>
      </c>
    </row>
    <row r="17" spans="16:21" x14ac:dyDescent="0.25">
      <c r="P17" s="3"/>
      <c r="Q17" s="3"/>
      <c r="R17" s="2" t="str">
        <f t="shared" si="1"/>
        <v/>
      </c>
      <c r="S17" s="2" t="str" cm="1">
        <f t="array" aca="1" ref="S17" ca="1">IF(T17&lt;&gt;"", IFERROR((T17 - MAX(_xlfn._xlws.FILTER(T$2:T16, N$2:N16 = "yes"))) * 24 * 60, ""), "")</f>
        <v/>
      </c>
      <c r="T17" s="2" t="str">
        <f t="shared" ca="1" si="0"/>
        <v/>
      </c>
      <c r="U17" s="2" t="str" cm="1">
        <f t="array" ref="U17">IF(N17&lt;&gt;"yes", "", IFERROR((T17 - INDEX(T$2:T17, MATCH(TRUE, INDEX((T$2:T17&lt;&gt;"")*(N$2:N17="yes"), 0), 0))) * 1440 / COUNTIF(N$2:N17, "yes"), ""))</f>
        <v/>
      </c>
    </row>
    <row r="18" spans="16:21" x14ac:dyDescent="0.25">
      <c r="P18" s="3"/>
      <c r="Q18" s="3"/>
      <c r="R18" s="2" t="str">
        <f t="shared" si="1"/>
        <v/>
      </c>
      <c r="S18" s="2" t="str" cm="1">
        <f t="array" aca="1" ref="S18" ca="1">IF(T18&lt;&gt;"", IFERROR((T18 - MAX(_xlfn._xlws.FILTER(T$2:T17, N$2:N17 = "yes"))) * 24 * 60, ""), "")</f>
        <v/>
      </c>
      <c r="T18" s="2" t="str">
        <f t="shared" ca="1" si="0"/>
        <v/>
      </c>
      <c r="U18" s="2" t="str" cm="1">
        <f t="array" ref="U18">IF(N18&lt;&gt;"yes", "", IFERROR((T18 - INDEX(T$2:T18, MATCH(TRUE, INDEX((T$2:T18&lt;&gt;"")*(N$2:N18="yes"), 0), 0))) * 1440 / COUNTIF(N$2:N18, "yes"), ""))</f>
        <v/>
      </c>
    </row>
    <row r="19" spans="16:21" x14ac:dyDescent="0.25">
      <c r="P19" s="3"/>
      <c r="Q19" s="3"/>
      <c r="R19" s="2" t="str">
        <f t="shared" si="1"/>
        <v/>
      </c>
      <c r="S19" s="2" t="str" cm="1">
        <f t="array" aca="1" ref="S19" ca="1">IF(T19&lt;&gt;"", IFERROR((T19 - MAX(_xlfn._xlws.FILTER(T$2:T18, N$2:N18 = "yes"))) * 24 * 60, ""), "")</f>
        <v/>
      </c>
      <c r="T19" s="2" t="str">
        <f t="shared" ca="1" si="0"/>
        <v/>
      </c>
      <c r="U19" s="2" t="str" cm="1">
        <f t="array" ref="U19">IF(N19&lt;&gt;"yes", "", IFERROR((T19 - INDEX(T$2:T19, MATCH(TRUE, INDEX((T$2:T19&lt;&gt;"")*(N$2:N19="yes"), 0), 0))) * 1440 / COUNTIF(N$2:N19, "yes"), ""))</f>
        <v/>
      </c>
    </row>
    <row r="20" spans="16:21" x14ac:dyDescent="0.25">
      <c r="P20" s="3"/>
      <c r="Q20" s="3"/>
      <c r="R20" s="2" t="str">
        <f t="shared" si="1"/>
        <v/>
      </c>
      <c r="S20" s="2" t="str" cm="1">
        <f t="array" aca="1" ref="S20" ca="1">IF(T20&lt;&gt;"", IFERROR((T20 - MAX(_xlfn._xlws.FILTER(T$2:T19, N$2:N19 = "yes"))) * 24 * 60, ""), "")</f>
        <v/>
      </c>
      <c r="T20" s="2" t="str">
        <f t="shared" ca="1" si="0"/>
        <v/>
      </c>
      <c r="U20" s="2" t="str" cm="1">
        <f t="array" ref="U20">IF(N20&lt;&gt;"yes", "", IFERROR((T20 - INDEX(T$2:T20, MATCH(TRUE, INDEX((T$2:T20&lt;&gt;"")*(N$2:N20="yes"), 0), 0))) * 1440 / COUNTIF(N$2:N20, "yes"), ""))</f>
        <v/>
      </c>
    </row>
    <row r="21" spans="16:21" x14ac:dyDescent="0.25">
      <c r="P21" s="3"/>
      <c r="Q21" s="3"/>
      <c r="R21" s="2" t="str">
        <f t="shared" si="1"/>
        <v/>
      </c>
      <c r="S21" s="2" t="str" cm="1">
        <f t="array" aca="1" ref="S21" ca="1">IF(T21&lt;&gt;"", IFERROR((T21 - MAX(_xlfn._xlws.FILTER(T$2:T20, N$2:N20 = "yes"))) * 24 * 60, ""), "")</f>
        <v/>
      </c>
      <c r="T21" s="2" t="str">
        <f t="shared" ca="1" si="0"/>
        <v/>
      </c>
      <c r="U21" s="2" t="str" cm="1">
        <f t="array" ref="U21">IF(N21&lt;&gt;"yes", "", IFERROR((T21 - INDEX(T$2:T21, MATCH(TRUE, INDEX((T$2:T21&lt;&gt;"")*(N$2:N21="yes"), 0), 0))) * 1440 / COUNTIF(N$2:N21, "yes"), ""))</f>
        <v/>
      </c>
    </row>
    <row r="22" spans="16:21" x14ac:dyDescent="0.25">
      <c r="P22" s="3"/>
      <c r="Q22" s="3"/>
      <c r="R22" s="2" t="str">
        <f t="shared" si="1"/>
        <v/>
      </c>
      <c r="S22" s="2" t="str" cm="1">
        <f t="array" aca="1" ref="S22" ca="1">IF(T22&lt;&gt;"", IFERROR((T22 - MAX(_xlfn._xlws.FILTER(T$2:T21, N$2:N21 = "yes"))) * 24 * 60, ""), "")</f>
        <v/>
      </c>
      <c r="T22" s="2" t="str">
        <f t="shared" ca="1" si="0"/>
        <v/>
      </c>
      <c r="U22" s="2" t="str" cm="1">
        <f t="array" ref="U22">IF(N22&lt;&gt;"yes", "", IFERROR((T22 - INDEX(T$2:T22, MATCH(TRUE, INDEX((T$2:T22&lt;&gt;"")*(N$2:N22="yes"), 0), 0))) * 1440 / COUNTIF(N$2:N22, "yes"), ""))</f>
        <v/>
      </c>
    </row>
    <row r="23" spans="16:21" x14ac:dyDescent="0.25">
      <c r="P23" s="3"/>
      <c r="Q23" s="3"/>
      <c r="R23" s="2" t="str">
        <f t="shared" si="1"/>
        <v/>
      </c>
      <c r="S23" s="2" t="str" cm="1">
        <f t="array" aca="1" ref="S23" ca="1">IF(T23&lt;&gt;"", IFERROR((T23 - MAX(_xlfn._xlws.FILTER(T$2:T22, N$2:N22 = "yes"))) * 24 * 60, ""), "")</f>
        <v/>
      </c>
      <c r="T23" s="2" t="str">
        <f t="shared" ca="1" si="0"/>
        <v/>
      </c>
      <c r="U23" s="2" t="str" cm="1">
        <f t="array" ref="U23">IF(N23&lt;&gt;"yes", "", IFERROR((T23 - INDEX(T$2:T23, MATCH(TRUE, INDEX((T$2:T23&lt;&gt;"")*(N$2:N23="yes"), 0), 0))) * 1440 / COUNTIF(N$2:N23, "yes"), ""))</f>
        <v/>
      </c>
    </row>
    <row r="24" spans="16:21" x14ac:dyDescent="0.25">
      <c r="P24" s="3"/>
      <c r="Q24" s="3"/>
      <c r="R24" s="2" t="str">
        <f t="shared" si="1"/>
        <v/>
      </c>
      <c r="S24" s="2" t="str" cm="1">
        <f t="array" aca="1" ref="S24" ca="1">IF(T24&lt;&gt;"", IFERROR((T24 - MAX(_xlfn._xlws.FILTER(T$2:T23, N$2:N23 = "yes"))) * 24 * 60, ""), "")</f>
        <v/>
      </c>
      <c r="T24" s="2" t="str">
        <f t="shared" ca="1" si="0"/>
        <v/>
      </c>
      <c r="U24" s="2" t="str" cm="1">
        <f t="array" ref="U24">IF(N24&lt;&gt;"yes", "", IFERROR((T24 - INDEX(T$2:T24, MATCH(TRUE, INDEX((T$2:T24&lt;&gt;"")*(N$2:N24="yes"), 0), 0))) * 1440 / COUNTIF(N$2:N24, "yes"), ""))</f>
        <v/>
      </c>
    </row>
    <row r="25" spans="16:21" x14ac:dyDescent="0.25">
      <c r="P25" s="3"/>
      <c r="Q25" s="3"/>
      <c r="R25" s="2" t="str">
        <f t="shared" si="1"/>
        <v/>
      </c>
      <c r="S25" s="2" t="str" cm="1">
        <f t="array" aca="1" ref="S25" ca="1">IF(T25&lt;&gt;"", IFERROR((T25 - MAX(_xlfn._xlws.FILTER(T$2:T24, N$2:N24 = "yes"))) * 24 * 60, ""), "")</f>
        <v/>
      </c>
      <c r="T25" s="2" t="str">
        <f t="shared" ca="1" si="0"/>
        <v/>
      </c>
      <c r="U25" s="2" t="str" cm="1">
        <f t="array" ref="U25">IF(N25&lt;&gt;"yes", "", IFERROR((T25 - INDEX(T$2:T25, MATCH(TRUE, INDEX((T$2:T25&lt;&gt;"")*(N$2:N25="yes"), 0), 0))) * 1440 / COUNTIF(N$2:N25, "yes"), ""))</f>
        <v/>
      </c>
    </row>
    <row r="26" spans="16:21" x14ac:dyDescent="0.25">
      <c r="P26" s="3"/>
      <c r="Q26" s="3"/>
      <c r="R26" s="2" t="str">
        <f t="shared" si="1"/>
        <v/>
      </c>
      <c r="S26" s="2" t="str" cm="1">
        <f t="array" aca="1" ref="S26" ca="1">IF(T26&lt;&gt;"", IFERROR((T26 - MAX(_xlfn._xlws.FILTER(T$2:T25, N$2:N25 = "yes"))) * 24 * 60, ""), "")</f>
        <v/>
      </c>
      <c r="T26" s="2" t="str">
        <f t="shared" ca="1" si="0"/>
        <v/>
      </c>
      <c r="U26" s="2" t="str" cm="1">
        <f t="array" ref="U26">IF(N26&lt;&gt;"yes", "", IFERROR((T26 - INDEX(T$2:T26, MATCH(TRUE, INDEX((T$2:T26&lt;&gt;"")*(N$2:N26="yes"), 0), 0))) * 1440 / COUNTIF(N$2:N26, "yes"), ""))</f>
        <v/>
      </c>
    </row>
    <row r="27" spans="16:21" x14ac:dyDescent="0.25">
      <c r="P27" s="3"/>
      <c r="Q27" s="3"/>
      <c r="R27" s="2" t="str">
        <f t="shared" si="1"/>
        <v/>
      </c>
      <c r="S27" s="2" t="str" cm="1">
        <f t="array" aca="1" ref="S27" ca="1">IF(T27&lt;&gt;"", IFERROR((T27 - MAX(_xlfn._xlws.FILTER(T$2:T26, N$2:N26 = "yes"))) * 24 * 60, ""), "")</f>
        <v/>
      </c>
      <c r="T27" s="2" t="str">
        <f t="shared" ca="1" si="0"/>
        <v/>
      </c>
      <c r="U27" s="2" t="str" cm="1">
        <f t="array" ref="U27">IF(N27&lt;&gt;"yes", "", IFERROR((T27 - INDEX(T$2:T27, MATCH(TRUE, INDEX((T$2:T27&lt;&gt;"")*(N$2:N27="yes"), 0), 0))) * 1440 / COUNTIF(N$2:N27, "yes"), ""))</f>
        <v/>
      </c>
    </row>
    <row r="28" spans="16:21" x14ac:dyDescent="0.25">
      <c r="P28" s="3"/>
      <c r="Q28" s="3"/>
      <c r="R28" s="2" t="str">
        <f t="shared" si="1"/>
        <v/>
      </c>
      <c r="S28" s="2" t="str" cm="1">
        <f t="array" aca="1" ref="S28" ca="1">IF(T28&lt;&gt;"", IFERROR((T28 - MAX(_xlfn._xlws.FILTER(T$2:T27, N$2:N27 = "yes"))) * 24 * 60, ""), "")</f>
        <v/>
      </c>
      <c r="T28" s="2" t="str">
        <f t="shared" ca="1" si="0"/>
        <v/>
      </c>
      <c r="U28" s="2" t="str" cm="1">
        <f t="array" ref="U28">IF(N28&lt;&gt;"yes", "", IFERROR((T28 - INDEX(T$2:T28, MATCH(TRUE, INDEX((T$2:T28&lt;&gt;"")*(N$2:N28="yes"), 0), 0))) * 1440 / COUNTIF(N$2:N28, "yes"), ""))</f>
        <v/>
      </c>
    </row>
    <row r="29" spans="16:21" x14ac:dyDescent="0.25">
      <c r="P29" s="3"/>
      <c r="Q29" s="3"/>
      <c r="R29" s="2" t="str">
        <f t="shared" si="1"/>
        <v/>
      </c>
      <c r="S29" s="2" t="str" cm="1">
        <f t="array" aca="1" ref="S29" ca="1">IF(T29&lt;&gt;"", IFERROR((T29 - MAX(_xlfn._xlws.FILTER(T$2:T28, N$2:N28 = "yes"))) * 24 * 60, ""), "")</f>
        <v/>
      </c>
      <c r="T29" s="2" t="str">
        <f t="shared" ca="1" si="0"/>
        <v/>
      </c>
      <c r="U29" s="2" t="str" cm="1">
        <f t="array" ref="U29">IF(N29&lt;&gt;"yes", "", IFERROR((T29 - INDEX(T$2:T29, MATCH(TRUE, INDEX((T$2:T29&lt;&gt;"")*(N$2:N29="yes"), 0), 0))) * 1440 / COUNTIF(N$2:N29, "yes"), ""))</f>
        <v/>
      </c>
    </row>
    <row r="30" spans="16:21" x14ac:dyDescent="0.25">
      <c r="P30" s="3"/>
      <c r="Q30" s="3"/>
      <c r="R30" s="2" t="str">
        <f t="shared" si="1"/>
        <v/>
      </c>
      <c r="S30" s="2" t="str" cm="1">
        <f t="array" aca="1" ref="S30" ca="1">IF(T30&lt;&gt;"", IFERROR((T30 - MAX(_xlfn._xlws.FILTER(T$2:T29, N$2:N29 = "yes"))) * 24 * 60, ""), "")</f>
        <v/>
      </c>
      <c r="T30" s="2" t="str">
        <f t="shared" ca="1" si="0"/>
        <v/>
      </c>
      <c r="U30" s="2" t="str" cm="1">
        <f t="array" ref="U30">IF(N30&lt;&gt;"yes", "", IFERROR((T30 - INDEX(T$2:T30, MATCH(TRUE, INDEX((T$2:T30&lt;&gt;"")*(N$2:N30="yes"), 0), 0))) * 1440 / COUNTIF(N$2:N30, "yes"), ""))</f>
        <v/>
      </c>
    </row>
    <row r="31" spans="16:21" x14ac:dyDescent="0.25">
      <c r="P31" s="3"/>
      <c r="Q31" s="3"/>
      <c r="R31" s="2" t="str">
        <f t="shared" si="1"/>
        <v/>
      </c>
      <c r="S31" s="2" t="str" cm="1">
        <f t="array" aca="1" ref="S31" ca="1">IF(T31&lt;&gt;"", IFERROR((T31 - MAX(_xlfn._xlws.FILTER(T$2:T30, N$2:N30 = "yes"))) * 24 * 60, ""), "")</f>
        <v/>
      </c>
      <c r="T31" s="2" t="str">
        <f t="shared" ca="1" si="0"/>
        <v/>
      </c>
      <c r="U31" s="2" t="str" cm="1">
        <f t="array" ref="U31">IF(N31&lt;&gt;"yes", "", IFERROR((T31 - INDEX(T$2:T31, MATCH(TRUE, INDEX((T$2:T31&lt;&gt;"")*(N$2:N31="yes"), 0), 0))) * 1440 / COUNTIF(N$2:N31, "yes"), ""))</f>
        <v/>
      </c>
    </row>
    <row r="32" spans="16:21" x14ac:dyDescent="0.25">
      <c r="P32" s="3"/>
      <c r="Q32" s="3"/>
      <c r="R32" s="2" t="str">
        <f t="shared" si="1"/>
        <v/>
      </c>
      <c r="S32" s="2" t="str" cm="1">
        <f t="array" aca="1" ref="S32" ca="1">IF(T32&lt;&gt;"", IFERROR((T32 - MAX(_xlfn._xlws.FILTER(T$2:T31, N$2:N31 = "yes"))) * 24 * 60, ""), "")</f>
        <v/>
      </c>
      <c r="T32" s="2" t="str">
        <f t="shared" ca="1" si="0"/>
        <v/>
      </c>
      <c r="U32" s="2" t="str" cm="1">
        <f t="array" ref="U32">IF(N32&lt;&gt;"yes", "", IFERROR((T32 - INDEX(T$2:T32, MATCH(TRUE, INDEX((T$2:T32&lt;&gt;"")*(N$2:N32="yes"), 0), 0))) * 1440 / COUNTIF(N$2:N32, "yes"), ""))</f>
        <v/>
      </c>
    </row>
    <row r="33" spans="16:21" x14ac:dyDescent="0.25">
      <c r="P33" s="3"/>
      <c r="Q33" s="3"/>
      <c r="R33" s="2" t="str">
        <f t="shared" si="1"/>
        <v/>
      </c>
      <c r="S33" s="2" t="str" cm="1">
        <f t="array" aca="1" ref="S33" ca="1">IF(T33&lt;&gt;"", IFERROR((T33 - MAX(_xlfn._xlws.FILTER(T$2:T32, N$2:N32 = "yes"))) * 24 * 60, ""), "")</f>
        <v/>
      </c>
      <c r="T33" s="2" t="str">
        <f t="shared" ca="1" si="0"/>
        <v/>
      </c>
      <c r="U33" s="2" t="str" cm="1">
        <f t="array" ref="U33">IF(N33&lt;&gt;"yes", "", IFERROR((T33 - INDEX(T$2:T33, MATCH(TRUE, INDEX((T$2:T33&lt;&gt;"")*(N$2:N33="yes"), 0), 0))) * 1440 / COUNTIF(N$2:N33, "yes"), ""))</f>
        <v/>
      </c>
    </row>
    <row r="34" spans="16:21" x14ac:dyDescent="0.25">
      <c r="P34" s="3"/>
      <c r="Q34" s="3"/>
      <c r="R34" s="2" t="str">
        <f t="shared" si="1"/>
        <v/>
      </c>
      <c r="S34" s="2" t="str" cm="1">
        <f t="array" aca="1" ref="S34" ca="1">IF(T34&lt;&gt;"", IFERROR((T34 - MAX(_xlfn._xlws.FILTER(T$2:T33, N$2:N33 = "yes"))) * 24 * 60, ""), "")</f>
        <v/>
      </c>
      <c r="T34" s="2" t="str">
        <f t="shared" ca="1" si="0"/>
        <v/>
      </c>
      <c r="U34" s="2" t="str" cm="1">
        <f t="array" ref="U34">IF(N34&lt;&gt;"yes", "", IFERROR((T34 - INDEX(T$2:T34, MATCH(TRUE, INDEX((T$2:T34&lt;&gt;"")*(N$2:N34="yes"), 0), 0))) * 1440 / COUNTIF(N$2:N34, "yes"), ""))</f>
        <v/>
      </c>
    </row>
    <row r="35" spans="16:21" x14ac:dyDescent="0.25">
      <c r="P35" s="3"/>
      <c r="Q35" s="3"/>
      <c r="R35" s="2" t="str">
        <f t="shared" si="1"/>
        <v/>
      </c>
      <c r="S35" s="2" t="str" cm="1">
        <f t="array" aca="1" ref="S35" ca="1">IF(T35&lt;&gt;"", IFERROR((T35 - MAX(_xlfn._xlws.FILTER(T$2:T34, N$2:N34 = "yes"))) * 24 * 60, ""), "")</f>
        <v/>
      </c>
      <c r="T35" s="2" t="str">
        <f t="shared" ca="1" si="0"/>
        <v/>
      </c>
      <c r="U35" s="2" t="str" cm="1">
        <f t="array" ref="U35">IF(N35&lt;&gt;"yes", "", IFERROR((T35 - INDEX(T$2:T35, MATCH(TRUE, INDEX((T$2:T35&lt;&gt;"")*(N$2:N35="yes"), 0), 0))) * 1440 / COUNTIF(N$2:N35, "yes"), ""))</f>
        <v/>
      </c>
    </row>
    <row r="36" spans="16:21" x14ac:dyDescent="0.25">
      <c r="P36" s="3"/>
      <c r="Q36" s="3"/>
      <c r="R36" s="2" t="str">
        <f t="shared" si="1"/>
        <v/>
      </c>
      <c r="S36" s="2" t="str" cm="1">
        <f t="array" aca="1" ref="S36" ca="1">IF(T36&lt;&gt;"", IFERROR((T36 - MAX(_xlfn._xlws.FILTER(T$2:T35, N$2:N35 = "yes"))) * 24 * 60, ""), "")</f>
        <v/>
      </c>
      <c r="T36" s="2" t="str">
        <f t="shared" ca="1" si="0"/>
        <v/>
      </c>
      <c r="U36" s="2" t="str" cm="1">
        <f t="array" ref="U36">IF(N36&lt;&gt;"yes", "", IFERROR((T36 - INDEX(T$2:T36, MATCH(TRUE, INDEX((T$2:T36&lt;&gt;"")*(N$2:N36="yes"), 0), 0))) * 1440 / COUNTIF(N$2:N36, "yes"), ""))</f>
        <v/>
      </c>
    </row>
    <row r="37" spans="16:21" x14ac:dyDescent="0.25">
      <c r="P37" s="3"/>
      <c r="Q37" s="3"/>
      <c r="R37" s="2" t="str">
        <f t="shared" si="1"/>
        <v/>
      </c>
      <c r="S37" s="2" t="str" cm="1">
        <f t="array" aca="1" ref="S37" ca="1">IF(T37&lt;&gt;"", IFERROR((T37 - MAX(_xlfn._xlws.FILTER(T$2:T36, N$2:N36 = "yes"))) * 24 * 60, ""), "")</f>
        <v/>
      </c>
      <c r="T37" s="2" t="str">
        <f t="shared" ca="1" si="0"/>
        <v/>
      </c>
      <c r="U37" s="2" t="str" cm="1">
        <f t="array" ref="U37">IF(N37&lt;&gt;"yes", "", IFERROR((T37 - INDEX(T$2:T37, MATCH(TRUE, INDEX((T$2:T37&lt;&gt;"")*(N$2:N37="yes"), 0), 0))) * 1440 / COUNTIF(N$2:N37, "yes"), ""))</f>
        <v/>
      </c>
    </row>
    <row r="38" spans="16:21" x14ac:dyDescent="0.25">
      <c r="P38" s="3"/>
      <c r="Q38" s="3"/>
      <c r="R38" s="2" t="str">
        <f t="shared" si="1"/>
        <v/>
      </c>
      <c r="S38" s="2" t="str" cm="1">
        <f t="array" aca="1" ref="S38" ca="1">IF(T38&lt;&gt;"", IFERROR((T38 - MAX(_xlfn._xlws.FILTER(T$2:T37, N$2:N37 = "yes"))) * 24 * 60, ""), "")</f>
        <v/>
      </c>
      <c r="T38" s="2" t="str">
        <f t="shared" ca="1" si="0"/>
        <v/>
      </c>
      <c r="U38" s="2" t="str" cm="1">
        <f t="array" ref="U38">IF(N38&lt;&gt;"yes", "", IFERROR((T38 - INDEX(T$2:T38, MATCH(TRUE, INDEX((T$2:T38&lt;&gt;"")*(N$2:N38="yes"), 0), 0))) * 1440 / COUNTIF(N$2:N38, "yes"), ""))</f>
        <v/>
      </c>
    </row>
    <row r="39" spans="16:21" x14ac:dyDescent="0.25">
      <c r="P39" s="3"/>
      <c r="Q39" s="3"/>
      <c r="R39" s="2" t="str">
        <f t="shared" si="1"/>
        <v/>
      </c>
      <c r="S39" s="2" t="str" cm="1">
        <f t="array" aca="1" ref="S39" ca="1">IF(T39&lt;&gt;"", IFERROR((T39 - MAX(_xlfn._xlws.FILTER(T$2:T38, N$2:N38 = "yes"))) * 24 * 60, ""), "")</f>
        <v/>
      </c>
      <c r="T39" s="2" t="str">
        <f t="shared" ca="1" si="0"/>
        <v/>
      </c>
      <c r="U39" s="2" t="str" cm="1">
        <f t="array" ref="U39">IF(N39&lt;&gt;"yes", "", IFERROR((T39 - INDEX(T$2:T39, MATCH(TRUE, INDEX((T$2:T39&lt;&gt;"")*(N$2:N39="yes"), 0), 0))) * 1440 / COUNTIF(N$2:N39, "yes"), ""))</f>
        <v/>
      </c>
    </row>
    <row r="40" spans="16:21" x14ac:dyDescent="0.25">
      <c r="P40" s="3"/>
      <c r="Q40" s="3"/>
      <c r="R40" s="2" t="str">
        <f t="shared" si="1"/>
        <v/>
      </c>
      <c r="S40" s="2" t="str" cm="1">
        <f t="array" aca="1" ref="S40" ca="1">IF(T40&lt;&gt;"", IFERROR((T40 - MAX(_xlfn._xlws.FILTER(T$2:T39, N$2:N39 = "yes"))) * 24 * 60, ""), "")</f>
        <v/>
      </c>
      <c r="T40" s="2" t="str">
        <f t="shared" ca="1" si="0"/>
        <v/>
      </c>
      <c r="U40" s="2" t="str" cm="1">
        <f t="array" ref="U40">IF(N40&lt;&gt;"yes", "", IFERROR((T40 - INDEX(T$2:T40, MATCH(TRUE, INDEX((T$2:T40&lt;&gt;"")*(N$2:N40="yes"), 0), 0))) * 1440 / COUNTIF(N$2:N40, "yes"), ""))</f>
        <v/>
      </c>
    </row>
    <row r="41" spans="16:21" x14ac:dyDescent="0.25">
      <c r="Q41" s="3"/>
      <c r="R41" s="2" t="str">
        <f t="shared" si="1"/>
        <v/>
      </c>
      <c r="S41" s="2" t="str" cm="1">
        <f t="array" aca="1" ref="S41" ca="1">IF(T41&lt;&gt;"", IFERROR((T41 - MAX(_xlfn._xlws.FILTER(T$2:T40, N$2:N40 = "yes"))) * 24 * 60, ""), "")</f>
        <v/>
      </c>
      <c r="T41" s="2" t="str">
        <f t="shared" ca="1" si="0"/>
        <v/>
      </c>
      <c r="U41" s="2" t="str" cm="1">
        <f t="array" ref="U41">IF(N41&lt;&gt;"yes", "", IFERROR((T41 - INDEX(T$2:T41, MATCH(TRUE, INDEX((T$2:T41&lt;&gt;"")*(N$2:N41="yes"), 0), 0))) * 1440 / COUNTIF(N$2:N41, "yes"), ""))</f>
        <v/>
      </c>
    </row>
    <row r="42" spans="16:21" x14ac:dyDescent="0.25">
      <c r="Q42" s="3"/>
      <c r="R42" s="2" t="str">
        <f t="shared" si="1"/>
        <v/>
      </c>
      <c r="S42" s="2" t="str" cm="1">
        <f t="array" aca="1" ref="S42" ca="1">IF(T42&lt;&gt;"", IFERROR((T42 - MAX(_xlfn._xlws.FILTER(T$2:T41, N$2:N41 = "yes"))) * 24 * 60, ""), "")</f>
        <v/>
      </c>
      <c r="T42" s="2" t="str">
        <f t="shared" ca="1" si="0"/>
        <v/>
      </c>
      <c r="U42" s="2" t="str" cm="1">
        <f t="array" ref="U42">IF(N42&lt;&gt;"yes", "", IFERROR((T42 - INDEX(T$2:T42, MATCH(TRUE, INDEX((T$2:T42&lt;&gt;"")*(N$2:N42="yes"), 0), 0))) * 1440 / COUNTIF(N$2:N42, "yes"), ""))</f>
        <v/>
      </c>
    </row>
    <row r="43" spans="16:21" x14ac:dyDescent="0.25">
      <c r="Q43" s="3"/>
      <c r="R43" s="2" t="str">
        <f t="shared" si="1"/>
        <v/>
      </c>
      <c r="S43" s="2" t="str" cm="1">
        <f t="array" aca="1" ref="S43" ca="1">IF(T43&lt;&gt;"", IFERROR((T43 - MAX(_xlfn._xlws.FILTER(T$2:T42, N$2:N42 = "yes"))) * 24 * 60, ""), "")</f>
        <v/>
      </c>
      <c r="T43" s="2" t="str">
        <f t="shared" ca="1" si="0"/>
        <v/>
      </c>
      <c r="U43" s="2" t="str" cm="1">
        <f t="array" ref="U43">IF(N43&lt;&gt;"yes", "", IFERROR((T43 - INDEX(T$2:T43, MATCH(TRUE, INDEX((T$2:T43&lt;&gt;"")*(N$2:N43="yes"), 0), 0))) * 1440 / COUNTIF(N$2:N43, "yes"), ""))</f>
        <v/>
      </c>
    </row>
    <row r="44" spans="16:21" x14ac:dyDescent="0.25">
      <c r="Q44" s="3"/>
      <c r="R44" s="2" t="str">
        <f t="shared" si="1"/>
        <v/>
      </c>
      <c r="S44" s="2" t="str" cm="1">
        <f t="array" aca="1" ref="S44" ca="1">IF(T44&lt;&gt;"", IFERROR((T44 - MAX(_xlfn._xlws.FILTER(T$2:T43, N$2:N43 = "yes"))) * 24 * 60, ""), "")</f>
        <v/>
      </c>
      <c r="T44" s="2" t="str">
        <f t="shared" ca="1" si="0"/>
        <v/>
      </c>
      <c r="U44" s="2" t="str" cm="1">
        <f t="array" ref="U44">IF(N44&lt;&gt;"yes", "", IFERROR((T44 - INDEX(T$2:T44, MATCH(TRUE, INDEX((T$2:T44&lt;&gt;"")*(N$2:N44="yes"), 0), 0))) * 1440 / COUNTIF(N$2:N44, "yes"), ""))</f>
        <v/>
      </c>
    </row>
    <row r="45" spans="16:21" x14ac:dyDescent="0.25">
      <c r="R45" s="2" t="str">
        <f t="shared" si="1"/>
        <v/>
      </c>
      <c r="S45" s="2" t="str" cm="1">
        <f t="array" aca="1" ref="S45" ca="1">IF(T45&lt;&gt;"", IFERROR((T45 - MAX(_xlfn._xlws.FILTER(T$2:T44, N$2:N44 = "yes"))) * 24 * 60, ""), "")</f>
        <v/>
      </c>
      <c r="T45" s="2" t="str">
        <f t="shared" ca="1" si="0"/>
        <v/>
      </c>
      <c r="U45" s="2" t="str" cm="1">
        <f t="array" ref="U45">IF(N45&lt;&gt;"yes", "", IFERROR((T45 - INDEX(T$2:T45, MATCH(TRUE, INDEX((T$2:T45&lt;&gt;"")*(N$2:N45="yes"), 0), 0))) * 1440 / COUNTIF(N$2:N45, "yes"), ""))</f>
        <v/>
      </c>
    </row>
    <row r="46" spans="16:21" x14ac:dyDescent="0.25">
      <c r="R46" s="2" t="str">
        <f t="shared" si="1"/>
        <v/>
      </c>
      <c r="S46" s="2" t="str" cm="1">
        <f t="array" aca="1" ref="S46" ca="1">IF(T46&lt;&gt;"", IFERROR((T46 - MAX(_xlfn._xlws.FILTER(T$2:T45, N$2:N45 = "yes"))) * 24 * 60, ""), "")</f>
        <v/>
      </c>
      <c r="T46" s="2" t="str">
        <f t="shared" ca="1" si="0"/>
        <v/>
      </c>
      <c r="U46" s="2" t="str" cm="1">
        <f t="array" ref="U46">IF(N46&lt;&gt;"yes", "", IFERROR((T46 - INDEX(T$2:T46, MATCH(TRUE, INDEX((T$2:T46&lt;&gt;"")*(N$2:N46="yes"), 0), 0))) * 1440 / COUNTIF(N$2:N46, "yes"), ""))</f>
        <v/>
      </c>
    </row>
    <row r="47" spans="16:21" x14ac:dyDescent="0.25">
      <c r="R47" s="2" t="str">
        <f t="shared" si="1"/>
        <v/>
      </c>
      <c r="S47" s="2" t="str" cm="1">
        <f t="array" aca="1" ref="S47" ca="1">IF(T47&lt;&gt;"", IFERROR((T47 - MAX(_xlfn._xlws.FILTER(T$2:T46, N$2:N46 = "yes"))) * 24 * 60, ""), "")</f>
        <v/>
      </c>
      <c r="T47" s="2" t="str">
        <f t="shared" ca="1" si="0"/>
        <v/>
      </c>
      <c r="U47" s="2" t="str" cm="1">
        <f t="array" ref="U47">IF(N47&lt;&gt;"yes", "", IFERROR((T47 - INDEX(T$2:T47, MATCH(TRUE, INDEX((T$2:T47&lt;&gt;"")*(N$2:N47="yes"), 0), 0))) * 1440 / COUNTIF(N$2:N47, "yes"), ""))</f>
        <v/>
      </c>
    </row>
    <row r="48" spans="16:21" x14ac:dyDescent="0.25">
      <c r="R48" s="2" t="str">
        <f t="shared" si="1"/>
        <v/>
      </c>
      <c r="S48" s="2" t="str" cm="1">
        <f t="array" aca="1" ref="S48" ca="1">IF(T48&lt;&gt;"", IFERROR((T48 - MAX(_xlfn._xlws.FILTER(T$2:T47, N$2:N47 = "yes"))) * 24 * 60, ""), "")</f>
        <v/>
      </c>
      <c r="T48" s="2" t="str">
        <f t="shared" ca="1" si="0"/>
        <v/>
      </c>
      <c r="U48" s="2" t="str" cm="1">
        <f t="array" ref="U48">IF(N48&lt;&gt;"yes", "", IFERROR((T48 - INDEX(T$2:T48, MATCH(TRUE, INDEX((T$2:T48&lt;&gt;"")*(N$2:N48="yes"), 0), 0))) * 1440 / COUNTIF(N$2:N48, "yes"), ""))</f>
        <v/>
      </c>
    </row>
    <row r="49" spans="18:21" x14ac:dyDescent="0.25">
      <c r="R49" s="2" t="str">
        <f t="shared" si="1"/>
        <v/>
      </c>
      <c r="S49" s="2" t="str" cm="1">
        <f t="array" aca="1" ref="S49" ca="1">IF(T49&lt;&gt;"", IFERROR((T49 - MAX(_xlfn._xlws.FILTER(T$2:T48, N$2:N48 = "yes"))) * 24 * 60, ""), "")</f>
        <v/>
      </c>
      <c r="T49" s="2" t="str">
        <f t="shared" ca="1" si="0"/>
        <v/>
      </c>
      <c r="U49" s="2" t="str" cm="1">
        <f t="array" ref="U49">IF(N49&lt;&gt;"yes", "", IFERROR((T49 - INDEX(T$2:T49, MATCH(TRUE, INDEX((T$2:T49&lt;&gt;"")*(N$2:N49="yes"), 0), 0))) * 1440 / COUNTIF(N$2:N49, "yes"), ""))</f>
        <v/>
      </c>
    </row>
    <row r="50" spans="18:21" x14ac:dyDescent="0.25">
      <c r="R50" s="2" t="str">
        <f t="shared" si="1"/>
        <v/>
      </c>
      <c r="S50" s="2" t="str" cm="1">
        <f t="array" aca="1" ref="S50" ca="1">IF(T50&lt;&gt;"", IFERROR((T50 - MAX(_xlfn._xlws.FILTER(T$2:T49, N$2:N49 = "yes"))) * 24 * 60, ""), "")</f>
        <v/>
      </c>
      <c r="T50" s="2" t="str">
        <f t="shared" ca="1" si="0"/>
        <v/>
      </c>
      <c r="U50" s="2" t="str" cm="1">
        <f t="array" ref="U50">IF(N50&lt;&gt;"yes", "", IFERROR((T50 - INDEX(T$2:T50, MATCH(TRUE, INDEX((T$2:T50&lt;&gt;"")*(N$2:N50="yes"), 0), 0))) * 1440 / COUNTIF(N$2:N50, "yes"), ""))</f>
        <v/>
      </c>
    </row>
    <row r="51" spans="18:21" x14ac:dyDescent="0.25">
      <c r="R51" s="2" t="str">
        <f t="shared" si="1"/>
        <v/>
      </c>
      <c r="S51" s="2" t="str" cm="1">
        <f t="array" aca="1" ref="S51" ca="1">IF(T51&lt;&gt;"", IFERROR((T51 - MAX(_xlfn._xlws.FILTER(T$2:T50, N$2:N50 = "yes"))) * 24 * 60, ""), "")</f>
        <v/>
      </c>
      <c r="T51" s="2" t="str">
        <f t="shared" ca="1" si="0"/>
        <v/>
      </c>
      <c r="U51" s="2" t="str" cm="1">
        <f t="array" ref="U51">IF(N51&lt;&gt;"yes", "", IFERROR((T51 - INDEX(T$2:T51, MATCH(TRUE, INDEX((T$2:T51&lt;&gt;"")*(N$2:N51="yes"), 0), 0))) * 1440 / COUNTIF(N$2:N51, "yes"), ""))</f>
        <v/>
      </c>
    </row>
    <row r="52" spans="18:21" x14ac:dyDescent="0.25">
      <c r="R52" s="2" t="str">
        <f t="shared" si="1"/>
        <v/>
      </c>
      <c r="S52" s="2" t="str" cm="1">
        <f t="array" aca="1" ref="S52" ca="1">IF(T52&lt;&gt;"", IFERROR((T52 - MAX(_xlfn._xlws.FILTER(T$2:T51, N$2:N51 = "yes"))) * 24 * 60, ""), "")</f>
        <v/>
      </c>
      <c r="T52" s="2" t="str">
        <f t="shared" ca="1" si="0"/>
        <v/>
      </c>
      <c r="U52" s="2" t="str" cm="1">
        <f t="array" ref="U52">IF(N52&lt;&gt;"yes", "", IFERROR((T52 - INDEX(T$2:T52, MATCH(TRUE, INDEX((T$2:T52&lt;&gt;"")*(N$2:N52="yes"), 0), 0))) * 1440 / COUNTIF(N$2:N52, "yes"), ""))</f>
        <v/>
      </c>
    </row>
    <row r="53" spans="18:21" x14ac:dyDescent="0.25">
      <c r="R53" s="2" t="str">
        <f t="shared" si="1"/>
        <v/>
      </c>
      <c r="S53" s="2" t="str" cm="1">
        <f t="array" aca="1" ref="S53" ca="1">IF(T53&lt;&gt;"", IFERROR((T53 - MAX(_xlfn._xlws.FILTER(T$2:T52, N$2:N52 = "yes"))) * 24 * 60, ""), "")</f>
        <v/>
      </c>
      <c r="T53" s="2" t="str">
        <f t="shared" ca="1" si="0"/>
        <v/>
      </c>
      <c r="U53" s="2" t="str" cm="1">
        <f t="array" ref="U53">IF(N53&lt;&gt;"yes", "", IFERROR((T53 - INDEX(T$2:T53, MATCH(TRUE, INDEX((T$2:T53&lt;&gt;"")*(N$2:N53="yes"), 0), 0))) * 1440 / COUNTIF(N$2:N53, "yes"), ""))</f>
        <v/>
      </c>
    </row>
    <row r="54" spans="18:21" x14ac:dyDescent="0.25">
      <c r="R54" s="2" t="str">
        <f t="shared" si="1"/>
        <v/>
      </c>
      <c r="S54" s="2" t="str" cm="1">
        <f t="array" aca="1" ref="S54" ca="1">IF(T54&lt;&gt;"", IFERROR((T54 - MAX(_xlfn._xlws.FILTER(T$2:T53, N$2:N53 = "yes"))) * 24 * 60, ""), "")</f>
        <v/>
      </c>
      <c r="T54" s="2" t="str">
        <f t="shared" ca="1" si="0"/>
        <v/>
      </c>
      <c r="U54" s="2" t="str" cm="1">
        <f t="array" ref="U54">IF(N54&lt;&gt;"yes", "", IFERROR((T54 - INDEX(T$2:T54, MATCH(TRUE, INDEX((T$2:T54&lt;&gt;"")*(N$2:N54="yes"), 0), 0))) * 1440 / COUNTIF(N$2:N54, "yes"), ""))</f>
        <v/>
      </c>
    </row>
    <row r="55" spans="18:21" x14ac:dyDescent="0.25">
      <c r="R55" s="2" t="str">
        <f t="shared" si="1"/>
        <v/>
      </c>
      <c r="S55" s="2" t="str" cm="1">
        <f t="array" aca="1" ref="S55" ca="1">IF(T55&lt;&gt;"", IFERROR((T55 - MAX(_xlfn._xlws.FILTER(T$2:T54, N$2:N54 = "yes"))) * 24 * 60, ""), "")</f>
        <v/>
      </c>
      <c r="T55" s="2" t="str">
        <f t="shared" ca="1" si="0"/>
        <v/>
      </c>
      <c r="U55" s="2" t="str" cm="1">
        <f t="array" ref="U55">IF(N55&lt;&gt;"yes", "", IFERROR((T55 - INDEX(T$2:T55, MATCH(TRUE, INDEX((T$2:T55&lt;&gt;"")*(N$2:N55="yes"), 0), 0))) * 1440 / COUNTIF(N$2:N55, "yes"), ""))</f>
        <v/>
      </c>
    </row>
    <row r="56" spans="18:21" x14ac:dyDescent="0.25">
      <c r="R56" s="2" t="str">
        <f t="shared" si="1"/>
        <v/>
      </c>
      <c r="S56" s="2" t="str" cm="1">
        <f t="array" aca="1" ref="S56" ca="1">IF(T56&lt;&gt;"", IFERROR((T56 - MAX(_xlfn._xlws.FILTER(T$2:T55, N$2:N55 = "yes"))) * 24 * 60, ""), "")</f>
        <v/>
      </c>
      <c r="T56" s="2" t="str">
        <f t="shared" ca="1" si="0"/>
        <v/>
      </c>
      <c r="U56" s="2" t="str" cm="1">
        <f t="array" ref="U56">IF(N56&lt;&gt;"yes", "", IFERROR((T56 - INDEX(T$2:T56, MATCH(TRUE, INDEX((T$2:T56&lt;&gt;"")*(N$2:N56="yes"), 0), 0))) * 1440 / COUNTIF(N$2:N56, "yes"), ""))</f>
        <v/>
      </c>
    </row>
    <row r="57" spans="18:21" x14ac:dyDescent="0.25">
      <c r="R57" s="2" t="str">
        <f t="shared" si="1"/>
        <v/>
      </c>
      <c r="S57" s="2" t="str" cm="1">
        <f t="array" aca="1" ref="S57" ca="1">IF(T57&lt;&gt;"", IFERROR((T57 - MAX(_xlfn._xlws.FILTER(T$2:T56, N$2:N56 = "yes"))) * 24 * 60, ""), "")</f>
        <v/>
      </c>
      <c r="T57" s="2" t="str">
        <f t="shared" ca="1" si="0"/>
        <v/>
      </c>
      <c r="U57" s="2" t="str" cm="1">
        <f t="array" ref="U57">IF(N57&lt;&gt;"yes", "", IFERROR((T57 - INDEX(T$2:T57, MATCH(TRUE, INDEX((T$2:T57&lt;&gt;"")*(N$2:N57="yes"), 0), 0))) * 1440 / COUNTIF(N$2:N57, "yes"), ""))</f>
        <v/>
      </c>
    </row>
    <row r="58" spans="18:21" x14ac:dyDescent="0.25">
      <c r="R58" s="2" t="str">
        <f t="shared" si="1"/>
        <v/>
      </c>
      <c r="S58" s="2" t="str" cm="1">
        <f t="array" aca="1" ref="S58" ca="1">IF(T58&lt;&gt;"", IFERROR((T58 - MAX(_xlfn._xlws.FILTER(T$2:T57, N$2:N57 = "yes"))) * 24 * 60, ""), "")</f>
        <v/>
      </c>
      <c r="T58" s="2" t="str">
        <f t="shared" ca="1" si="0"/>
        <v/>
      </c>
      <c r="U58" s="2" t="str" cm="1">
        <f t="array" ref="U58">IF(N58&lt;&gt;"yes", "", IFERROR((T58 - INDEX(T$2:T58, MATCH(TRUE, INDEX((T$2:T58&lt;&gt;"")*(N$2:N58="yes"), 0), 0))) * 1440 / COUNTIF(N$2:N58, "yes"), ""))</f>
        <v/>
      </c>
    </row>
    <row r="59" spans="18:21" x14ac:dyDescent="0.25">
      <c r="R59" s="2" t="str">
        <f t="shared" si="1"/>
        <v/>
      </c>
      <c r="S59" s="2" t="str" cm="1">
        <f t="array" aca="1" ref="S59" ca="1">IF(T59&lt;&gt;"", IFERROR((T59 - MAX(_xlfn._xlws.FILTER(T$2:T58, N$2:N58 = "yes"))) * 24 * 60, ""), "")</f>
        <v/>
      </c>
      <c r="T59" s="2" t="str">
        <f t="shared" ca="1" si="0"/>
        <v/>
      </c>
      <c r="U59" s="2" t="str" cm="1">
        <f t="array" ref="U59">IF(N59&lt;&gt;"yes", "", IFERROR((T59 - INDEX(T$2:T59, MATCH(TRUE, INDEX((T$2:T59&lt;&gt;"")*(N$2:N59="yes"), 0), 0))) * 1440 / COUNTIF(N$2:N59, "yes"), ""))</f>
        <v/>
      </c>
    </row>
    <row r="60" spans="18:21" x14ac:dyDescent="0.25">
      <c r="R60" s="2" t="str">
        <f t="shared" si="1"/>
        <v/>
      </c>
      <c r="S60" s="2" t="str" cm="1">
        <f t="array" aca="1" ref="S60" ca="1">IF(T60&lt;&gt;"", IFERROR((T60 - MAX(_xlfn._xlws.FILTER(T$2:T59, N$2:N59 = "yes"))) * 24 * 60, ""), "")</f>
        <v/>
      </c>
      <c r="T60" s="2" t="str">
        <f t="shared" ca="1" si="0"/>
        <v/>
      </c>
      <c r="U60" s="2" t="str" cm="1">
        <f t="array" ref="U60">IF(N60&lt;&gt;"yes", "", IFERROR((T60 - INDEX(T$2:T60, MATCH(TRUE, INDEX((T$2:T60&lt;&gt;"")*(N$2:N60="yes"), 0), 0))) * 1440 / COUNTIF(N$2:N60, "yes"), ""))</f>
        <v/>
      </c>
    </row>
    <row r="61" spans="18:21" x14ac:dyDescent="0.25">
      <c r="R61" s="2" t="str">
        <f t="shared" si="1"/>
        <v/>
      </c>
      <c r="S61" s="2" t="str" cm="1">
        <f t="array" aca="1" ref="S61" ca="1">IF(T61&lt;&gt;"", IFERROR((T61 - MAX(_xlfn._xlws.FILTER(T$2:T60, N$2:N60 = "yes"))) * 24 * 60, ""), "")</f>
        <v/>
      </c>
      <c r="T61" s="2" t="str">
        <f t="shared" ca="1" si="0"/>
        <v/>
      </c>
      <c r="U61" s="2" t="str" cm="1">
        <f t="array" ref="U61">IF(N61&lt;&gt;"yes", "", IFERROR((T61 - INDEX(T$2:T61, MATCH(TRUE, INDEX((T$2:T61&lt;&gt;"")*(N$2:N61="yes"), 0), 0))) * 1440 / COUNTIF(N$2:N61, "yes"), ""))</f>
        <v/>
      </c>
    </row>
    <row r="62" spans="18:21" x14ac:dyDescent="0.25">
      <c r="R62" s="2" t="str">
        <f t="shared" si="1"/>
        <v/>
      </c>
      <c r="S62" s="2" t="str" cm="1">
        <f t="array" aca="1" ref="S62" ca="1">IF(T62&lt;&gt;"", IFERROR((T62 - MAX(_xlfn._xlws.FILTER(T$2:T61, N$2:N61 = "yes"))) * 24 * 60, ""), "")</f>
        <v/>
      </c>
      <c r="T62" s="2" t="str">
        <f t="shared" ca="1" si="0"/>
        <v/>
      </c>
      <c r="U62" s="2" t="str" cm="1">
        <f t="array" ref="U62">IF(N62&lt;&gt;"yes", "", IFERROR((T62 - INDEX(T$2:T62, MATCH(TRUE, INDEX((T$2:T62&lt;&gt;"")*(N$2:N62="yes"), 0), 0))) * 1440 / COUNTIF(N$2:N62, "yes"), ""))</f>
        <v/>
      </c>
    </row>
    <row r="63" spans="18:21" x14ac:dyDescent="0.25">
      <c r="R63" s="2" t="str">
        <f t="shared" si="1"/>
        <v/>
      </c>
      <c r="S63" s="2" t="str" cm="1">
        <f t="array" aca="1" ref="S63" ca="1">IF(T63&lt;&gt;"", IFERROR((T63 - MAX(_xlfn._xlws.FILTER(T$2:T62, N$2:N62 = "yes"))) * 24 * 60, ""), "")</f>
        <v/>
      </c>
      <c r="T63" s="2" t="str">
        <f t="shared" ca="1" si="0"/>
        <v/>
      </c>
      <c r="U63" s="2" t="str" cm="1">
        <f t="array" ref="U63">IF(N63&lt;&gt;"yes", "", IFERROR((T63 - INDEX(T$2:T63, MATCH(TRUE, INDEX((T$2:T63&lt;&gt;"")*(N$2:N63="yes"), 0), 0))) * 1440 / COUNTIF(N$2:N63, "yes"), ""))</f>
        <v/>
      </c>
    </row>
    <row r="64" spans="18:21" x14ac:dyDescent="0.25">
      <c r="R64" s="2" t="str">
        <f t="shared" si="1"/>
        <v/>
      </c>
      <c r="S64" s="2" t="str" cm="1">
        <f t="array" aca="1" ref="S64" ca="1">IF(T64&lt;&gt;"", IFERROR((T64 - MAX(_xlfn._xlws.FILTER(T$2:T63, N$2:N63 = "yes"))) * 24 * 60, ""), "")</f>
        <v/>
      </c>
      <c r="T64" s="2" t="str">
        <f t="shared" ca="1" si="0"/>
        <v/>
      </c>
      <c r="U64" s="2" t="str" cm="1">
        <f t="array" ref="U64">IF(N64&lt;&gt;"yes", "", IFERROR((T64 - INDEX(T$2:T64, MATCH(TRUE, INDEX((T$2:T64&lt;&gt;"")*(N$2:N64="yes"), 0), 0))) * 1440 / COUNTIF(N$2:N64, "yes"), ""))</f>
        <v/>
      </c>
    </row>
    <row r="65" spans="18:21" x14ac:dyDescent="0.25">
      <c r="R65" s="2" t="str">
        <f t="shared" si="1"/>
        <v/>
      </c>
      <c r="S65" s="2" t="str" cm="1">
        <f t="array" aca="1" ref="S65" ca="1">IF(T65&lt;&gt;"", IFERROR((T65 - MAX(_xlfn._xlws.FILTER(T$2:T64, N$2:N64 = "yes"))) * 24 * 60, ""), "")</f>
        <v/>
      </c>
      <c r="T65" s="2" t="str">
        <f t="shared" ca="1" si="0"/>
        <v/>
      </c>
      <c r="U65" s="2" t="str" cm="1">
        <f t="array" ref="U65">IF(N65&lt;&gt;"yes", "", IFERROR((T65 - INDEX(T$2:T65, MATCH(TRUE, INDEX((T$2:T65&lt;&gt;"")*(N$2:N65="yes"), 0), 0))) * 1440 / COUNTIF(N$2:N65, "yes"), ""))</f>
        <v/>
      </c>
    </row>
    <row r="66" spans="18:21" x14ac:dyDescent="0.25">
      <c r="R66" s="2" t="str">
        <f t="shared" si="1"/>
        <v/>
      </c>
      <c r="S66" s="2" t="str" cm="1">
        <f t="array" aca="1" ref="S66" ca="1">IF(T66&lt;&gt;"", IFERROR((T66 - MAX(_xlfn._xlws.FILTER(T$2:T65, N$2:N65 = "yes"))) * 24 * 60, ""), "")</f>
        <v/>
      </c>
      <c r="T66" s="2" t="str">
        <f t="shared" ref="T66:T129" ca="1" si="2">IF(N66="yes", NOW(), "")</f>
        <v/>
      </c>
      <c r="U66" s="2" t="str" cm="1">
        <f t="array" ref="U66">IF(N66&lt;&gt;"yes", "", IFERROR((T66 - INDEX(T$2:T66, MATCH(TRUE, INDEX((T$2:T66&lt;&gt;"")*(N$2:N66="yes"), 0), 0))) * 1440 / COUNTIF(N$2:N66, "yes"), ""))</f>
        <v/>
      </c>
    </row>
    <row r="67" spans="18:21" x14ac:dyDescent="0.25">
      <c r="R67" s="2" t="str">
        <f t="shared" si="1"/>
        <v/>
      </c>
      <c r="S67" s="2" t="str" cm="1">
        <f t="array" aca="1" ref="S67" ca="1">IF(T67&lt;&gt;"", IFERROR((T67 - MAX(_xlfn._xlws.FILTER(T$2:T66, N$2:N66 = "yes"))) * 24 * 60, ""), "")</f>
        <v/>
      </c>
      <c r="T67" s="2" t="str">
        <f t="shared" ca="1" si="2"/>
        <v/>
      </c>
      <c r="U67" s="2" t="str" cm="1">
        <f t="array" ref="U67">IF(N67&lt;&gt;"yes", "", IFERROR((T67 - INDEX(T$2:T67, MATCH(TRUE, INDEX((T$2:T67&lt;&gt;"")*(N$2:N67="yes"), 0), 0))) * 1440 / COUNTIF(N$2:N67, "yes"), ""))</f>
        <v/>
      </c>
    </row>
    <row r="68" spans="18:21" x14ac:dyDescent="0.25">
      <c r="R68" s="2" t="str">
        <f t="shared" ref="R68:R131" si="3">IF(AND(ISNUMBER(P68), ISNUMBER(Q68)), (Q68 - P68) * 24 * 60, "")</f>
        <v/>
      </c>
      <c r="S68" s="2" t="str" cm="1">
        <f t="array" aca="1" ref="S68" ca="1">IF(T68&lt;&gt;"", IFERROR((T68 - MAX(_xlfn._xlws.FILTER(T$2:T67, N$2:N67 = "yes"))) * 24 * 60, ""), "")</f>
        <v/>
      </c>
      <c r="T68" s="2" t="str">
        <f t="shared" ca="1" si="2"/>
        <v/>
      </c>
      <c r="U68" s="2" t="str" cm="1">
        <f t="array" ref="U68">IF(N68&lt;&gt;"yes", "", IFERROR((T68 - INDEX(T$2:T68, MATCH(TRUE, INDEX((T$2:T68&lt;&gt;"")*(N$2:N68="yes"), 0), 0))) * 1440 / COUNTIF(N$2:N68, "yes"), ""))</f>
        <v/>
      </c>
    </row>
    <row r="69" spans="18:21" x14ac:dyDescent="0.25">
      <c r="R69" s="2" t="str">
        <f t="shared" si="3"/>
        <v/>
      </c>
      <c r="S69" s="2" t="str" cm="1">
        <f t="array" aca="1" ref="S69" ca="1">IF(T69&lt;&gt;"", IFERROR((T69 - MAX(_xlfn._xlws.FILTER(T$2:T68, N$2:N68 = "yes"))) * 24 * 60, ""), "")</f>
        <v/>
      </c>
      <c r="T69" s="2" t="str">
        <f t="shared" ca="1" si="2"/>
        <v/>
      </c>
      <c r="U69" s="2" t="str" cm="1">
        <f t="array" ref="U69">IF(N69&lt;&gt;"yes", "", IFERROR((T69 - INDEX(T$2:T69, MATCH(TRUE, INDEX((T$2:T69&lt;&gt;"")*(N$2:N69="yes"), 0), 0))) * 1440 / COUNTIF(N$2:N69, "yes"), ""))</f>
        <v/>
      </c>
    </row>
    <row r="70" spans="18:21" x14ac:dyDescent="0.25">
      <c r="R70" s="2" t="str">
        <f t="shared" si="3"/>
        <v/>
      </c>
      <c r="S70" s="2" t="str" cm="1">
        <f t="array" aca="1" ref="S70" ca="1">IF(T70&lt;&gt;"", IFERROR((T70 - MAX(_xlfn._xlws.FILTER(T$2:T69, N$2:N69 = "yes"))) * 24 * 60, ""), "")</f>
        <v/>
      </c>
      <c r="T70" s="2" t="str">
        <f t="shared" ca="1" si="2"/>
        <v/>
      </c>
      <c r="U70" s="2" t="str" cm="1">
        <f t="array" ref="U70">IF(N70&lt;&gt;"yes", "", IFERROR((T70 - INDEX(T$2:T70, MATCH(TRUE, INDEX((T$2:T70&lt;&gt;"")*(N$2:N70="yes"), 0), 0))) * 1440 / COUNTIF(N$2:N70, "yes"), ""))</f>
        <v/>
      </c>
    </row>
    <row r="71" spans="18:21" x14ac:dyDescent="0.25">
      <c r="R71" s="2" t="str">
        <f t="shared" si="3"/>
        <v/>
      </c>
      <c r="S71" s="2" t="str" cm="1">
        <f t="array" aca="1" ref="S71" ca="1">IF(T71&lt;&gt;"", IFERROR((T71 - MAX(_xlfn._xlws.FILTER(T$2:T70, N$2:N70 = "yes"))) * 24 * 60, ""), "")</f>
        <v/>
      </c>
      <c r="T71" s="2" t="str">
        <f t="shared" ca="1" si="2"/>
        <v/>
      </c>
      <c r="U71" s="2" t="str" cm="1">
        <f t="array" ref="U71">IF(N71&lt;&gt;"yes", "", IFERROR((T71 - INDEX(T$2:T71, MATCH(TRUE, INDEX((T$2:T71&lt;&gt;"")*(N$2:N71="yes"), 0), 0))) * 1440 / COUNTIF(N$2:N71, "yes"), ""))</f>
        <v/>
      </c>
    </row>
    <row r="72" spans="18:21" x14ac:dyDescent="0.25">
      <c r="R72" s="2" t="str">
        <f t="shared" si="3"/>
        <v/>
      </c>
      <c r="S72" s="2" t="str" cm="1">
        <f t="array" aca="1" ref="S72" ca="1">IF(T72&lt;&gt;"", IFERROR((T72 - MAX(_xlfn._xlws.FILTER(T$2:T71, N$2:N71 = "yes"))) * 24 * 60, ""), "")</f>
        <v/>
      </c>
      <c r="T72" s="2" t="str">
        <f t="shared" ca="1" si="2"/>
        <v/>
      </c>
      <c r="U72" s="2" t="str" cm="1">
        <f t="array" ref="U72">IF(N72&lt;&gt;"yes", "", IFERROR((T72 - INDEX(T$2:T72, MATCH(TRUE, INDEX((T$2:T72&lt;&gt;"")*(N$2:N72="yes"), 0), 0))) * 1440 / COUNTIF(N$2:N72, "yes"), ""))</f>
        <v/>
      </c>
    </row>
    <row r="73" spans="18:21" x14ac:dyDescent="0.25">
      <c r="R73" s="2" t="str">
        <f t="shared" si="3"/>
        <v/>
      </c>
      <c r="S73" s="2" t="str" cm="1">
        <f t="array" aca="1" ref="S73" ca="1">IF(T73&lt;&gt;"", IFERROR((T73 - MAX(_xlfn._xlws.FILTER(T$2:T72, N$2:N72 = "yes"))) * 24 * 60, ""), "")</f>
        <v/>
      </c>
      <c r="T73" s="2" t="str">
        <f t="shared" ca="1" si="2"/>
        <v/>
      </c>
      <c r="U73" s="2" t="str" cm="1">
        <f t="array" ref="U73">IF(N73&lt;&gt;"yes", "", IFERROR((T73 - INDEX(T$2:T73, MATCH(TRUE, INDEX((T$2:T73&lt;&gt;"")*(N$2:N73="yes"), 0), 0))) * 1440 / COUNTIF(N$2:N73, "yes"), ""))</f>
        <v/>
      </c>
    </row>
    <row r="74" spans="18:21" x14ac:dyDescent="0.25">
      <c r="R74" s="2" t="str">
        <f t="shared" si="3"/>
        <v/>
      </c>
      <c r="S74" s="2" t="str" cm="1">
        <f t="array" aca="1" ref="S74" ca="1">IF(T74&lt;&gt;"", IFERROR((T74 - MAX(_xlfn._xlws.FILTER(T$2:T73, N$2:N73 = "yes"))) * 24 * 60, ""), "")</f>
        <v/>
      </c>
      <c r="T74" s="2" t="str">
        <f t="shared" ca="1" si="2"/>
        <v/>
      </c>
      <c r="U74" s="2" t="str" cm="1">
        <f t="array" ref="U74">IF(N74&lt;&gt;"yes", "", IFERROR((T74 - INDEX(T$2:T74, MATCH(TRUE, INDEX((T$2:T74&lt;&gt;"")*(N$2:N74="yes"), 0), 0))) * 1440 / COUNTIF(N$2:N74, "yes"), ""))</f>
        <v/>
      </c>
    </row>
    <row r="75" spans="18:21" x14ac:dyDescent="0.25">
      <c r="R75" s="2" t="str">
        <f t="shared" si="3"/>
        <v/>
      </c>
      <c r="S75" s="2" t="str" cm="1">
        <f t="array" aca="1" ref="S75" ca="1">IF(T75&lt;&gt;"", IFERROR((T75 - MAX(_xlfn._xlws.FILTER(T$2:T74, N$2:N74 = "yes"))) * 24 * 60, ""), "")</f>
        <v/>
      </c>
      <c r="T75" s="2" t="str">
        <f t="shared" ca="1" si="2"/>
        <v/>
      </c>
      <c r="U75" s="2" t="str" cm="1">
        <f t="array" ref="U75">IF(N75&lt;&gt;"yes", "", IFERROR((T75 - INDEX(T$2:T75, MATCH(TRUE, INDEX((T$2:T75&lt;&gt;"")*(N$2:N75="yes"), 0), 0))) * 1440 / COUNTIF(N$2:N75, "yes"), ""))</f>
        <v/>
      </c>
    </row>
    <row r="76" spans="18:21" x14ac:dyDescent="0.25">
      <c r="R76" s="2" t="str">
        <f t="shared" si="3"/>
        <v/>
      </c>
      <c r="S76" s="2" t="str" cm="1">
        <f t="array" aca="1" ref="S76" ca="1">IF(T76&lt;&gt;"", IFERROR((T76 - MAX(_xlfn._xlws.FILTER(T$2:T75, N$2:N75 = "yes"))) * 24 * 60, ""), "")</f>
        <v/>
      </c>
      <c r="T76" s="2" t="str">
        <f t="shared" ca="1" si="2"/>
        <v/>
      </c>
      <c r="U76" s="2" t="str" cm="1">
        <f t="array" ref="U76">IF(N76&lt;&gt;"yes", "", IFERROR((T76 - INDEX(T$2:T76, MATCH(TRUE, INDEX((T$2:T76&lt;&gt;"")*(N$2:N76="yes"), 0), 0))) * 1440 / COUNTIF(N$2:N76, "yes"), ""))</f>
        <v/>
      </c>
    </row>
    <row r="77" spans="18:21" x14ac:dyDescent="0.25">
      <c r="R77" s="2" t="str">
        <f t="shared" si="3"/>
        <v/>
      </c>
      <c r="S77" s="2" t="str" cm="1">
        <f t="array" aca="1" ref="S77" ca="1">IF(T77&lt;&gt;"", IFERROR((T77 - MAX(_xlfn._xlws.FILTER(T$2:T76, N$2:N76 = "yes"))) * 24 * 60, ""), "")</f>
        <v/>
      </c>
      <c r="T77" s="2" t="str">
        <f t="shared" ca="1" si="2"/>
        <v/>
      </c>
      <c r="U77" s="2" t="str" cm="1">
        <f t="array" ref="U77">IF(N77&lt;&gt;"yes", "", IFERROR((T77 - INDEX(T$2:T77, MATCH(TRUE, INDEX((T$2:T77&lt;&gt;"")*(N$2:N77="yes"), 0), 0))) * 1440 / COUNTIF(N$2:N77, "yes"), ""))</f>
        <v/>
      </c>
    </row>
    <row r="78" spans="18:21" x14ac:dyDescent="0.25">
      <c r="R78" s="2" t="str">
        <f t="shared" si="3"/>
        <v/>
      </c>
      <c r="S78" s="2" t="str" cm="1">
        <f t="array" aca="1" ref="S78" ca="1">IF(T78&lt;&gt;"", IFERROR((T78 - MAX(_xlfn._xlws.FILTER(T$2:T77, N$2:N77 = "yes"))) * 24 * 60, ""), "")</f>
        <v/>
      </c>
      <c r="T78" s="2" t="str">
        <f t="shared" ca="1" si="2"/>
        <v/>
      </c>
      <c r="U78" s="2" t="str" cm="1">
        <f t="array" ref="U78">IF(N78&lt;&gt;"yes", "", IFERROR((T78 - INDEX(T$2:T78, MATCH(TRUE, INDEX((T$2:T78&lt;&gt;"")*(N$2:N78="yes"), 0), 0))) * 1440 / COUNTIF(N$2:N78, "yes"), ""))</f>
        <v/>
      </c>
    </row>
    <row r="79" spans="18:21" x14ac:dyDescent="0.25">
      <c r="R79" s="2" t="str">
        <f t="shared" si="3"/>
        <v/>
      </c>
      <c r="S79" s="2" t="str" cm="1">
        <f t="array" aca="1" ref="S79" ca="1">IF(T79&lt;&gt;"", IFERROR((T79 - MAX(_xlfn._xlws.FILTER(T$2:T78, N$2:N78 = "yes"))) * 24 * 60, ""), "")</f>
        <v/>
      </c>
      <c r="T79" s="2" t="str">
        <f t="shared" ca="1" si="2"/>
        <v/>
      </c>
      <c r="U79" s="2" t="str" cm="1">
        <f t="array" ref="U79">IF(N79&lt;&gt;"yes", "", IFERROR((T79 - INDEX(T$2:T79, MATCH(TRUE, INDEX((T$2:T79&lt;&gt;"")*(N$2:N79="yes"), 0), 0))) * 1440 / COUNTIF(N$2:N79, "yes"), ""))</f>
        <v/>
      </c>
    </row>
    <row r="80" spans="18:21" x14ac:dyDescent="0.25">
      <c r="R80" s="2" t="str">
        <f t="shared" si="3"/>
        <v/>
      </c>
      <c r="S80" s="2" t="str" cm="1">
        <f t="array" aca="1" ref="S80" ca="1">IF(T80&lt;&gt;"", IFERROR((T80 - MAX(_xlfn._xlws.FILTER(T$2:T79, N$2:N79 = "yes"))) * 24 * 60, ""), "")</f>
        <v/>
      </c>
      <c r="T80" s="2" t="str">
        <f t="shared" ca="1" si="2"/>
        <v/>
      </c>
      <c r="U80" s="2" t="str" cm="1">
        <f t="array" ref="U80">IF(N80&lt;&gt;"yes", "", IFERROR((T80 - INDEX(T$2:T80, MATCH(TRUE, INDEX((T$2:T80&lt;&gt;"")*(N$2:N80="yes"), 0), 0))) * 1440 / COUNTIF(N$2:N80, "yes"), ""))</f>
        <v/>
      </c>
    </row>
    <row r="81" spans="18:21" x14ac:dyDescent="0.25">
      <c r="R81" s="2" t="str">
        <f t="shared" si="3"/>
        <v/>
      </c>
      <c r="S81" s="2" t="str" cm="1">
        <f t="array" aca="1" ref="S81" ca="1">IF(T81&lt;&gt;"", IFERROR((T81 - MAX(_xlfn._xlws.FILTER(T$2:T80, N$2:N80 = "yes"))) * 24 * 60, ""), "")</f>
        <v/>
      </c>
      <c r="T81" s="2" t="str">
        <f t="shared" ca="1" si="2"/>
        <v/>
      </c>
      <c r="U81" s="2" t="str" cm="1">
        <f t="array" ref="U81">IF(N81&lt;&gt;"yes", "", IFERROR((T81 - INDEX(T$2:T81, MATCH(TRUE, INDEX((T$2:T81&lt;&gt;"")*(N$2:N81="yes"), 0), 0))) * 1440 / COUNTIF(N$2:N81, "yes"), ""))</f>
        <v/>
      </c>
    </row>
    <row r="82" spans="18:21" x14ac:dyDescent="0.25">
      <c r="R82" s="2" t="str">
        <f t="shared" si="3"/>
        <v/>
      </c>
      <c r="S82" s="2" t="str" cm="1">
        <f t="array" aca="1" ref="S82" ca="1">IF(T82&lt;&gt;"", IFERROR((T82 - MAX(_xlfn._xlws.FILTER(T$2:T81, N$2:N81 = "yes"))) * 24 * 60, ""), "")</f>
        <v/>
      </c>
      <c r="T82" s="2" t="str">
        <f t="shared" ca="1" si="2"/>
        <v/>
      </c>
      <c r="U82" s="2" t="str" cm="1">
        <f t="array" ref="U82">IF(N82&lt;&gt;"yes", "", IFERROR((T82 - INDEX(T$2:T82, MATCH(TRUE, INDEX((T$2:T82&lt;&gt;"")*(N$2:N82="yes"), 0), 0))) * 1440 / COUNTIF(N$2:N82, "yes"), ""))</f>
        <v/>
      </c>
    </row>
    <row r="83" spans="18:21" x14ac:dyDescent="0.25">
      <c r="R83" s="2" t="str">
        <f t="shared" si="3"/>
        <v/>
      </c>
      <c r="S83" s="2" t="str" cm="1">
        <f t="array" aca="1" ref="S83" ca="1">IF(T83&lt;&gt;"", IFERROR((T83 - MAX(_xlfn._xlws.FILTER(T$2:T82, N$2:N82 = "yes"))) * 24 * 60, ""), "")</f>
        <v/>
      </c>
      <c r="T83" s="2" t="str">
        <f t="shared" ca="1" si="2"/>
        <v/>
      </c>
      <c r="U83" s="2" t="str" cm="1">
        <f t="array" ref="U83">IF(N83&lt;&gt;"yes", "", IFERROR((T83 - INDEX(T$2:T83, MATCH(TRUE, INDEX((T$2:T83&lt;&gt;"")*(N$2:N83="yes"), 0), 0))) * 1440 / COUNTIF(N$2:N83, "yes"), ""))</f>
        <v/>
      </c>
    </row>
    <row r="84" spans="18:21" x14ac:dyDescent="0.25">
      <c r="R84" s="2" t="str">
        <f t="shared" si="3"/>
        <v/>
      </c>
      <c r="S84" s="2" t="str" cm="1">
        <f t="array" aca="1" ref="S84" ca="1">IF(T84&lt;&gt;"", IFERROR((T84 - MAX(_xlfn._xlws.FILTER(T$2:T83, N$2:N83 = "yes"))) * 24 * 60, ""), "")</f>
        <v/>
      </c>
      <c r="T84" s="2" t="str">
        <f t="shared" ca="1" si="2"/>
        <v/>
      </c>
      <c r="U84" s="2" t="str" cm="1">
        <f t="array" ref="U84">IF(N84&lt;&gt;"yes", "", IFERROR((T84 - INDEX(T$2:T84, MATCH(TRUE, INDEX((T$2:T84&lt;&gt;"")*(N$2:N84="yes"), 0), 0))) * 1440 / COUNTIF(N$2:N84, "yes"), ""))</f>
        <v/>
      </c>
    </row>
    <row r="85" spans="18:21" x14ac:dyDescent="0.25">
      <c r="R85" s="2" t="str">
        <f t="shared" si="3"/>
        <v/>
      </c>
      <c r="S85" s="2" t="str" cm="1">
        <f t="array" aca="1" ref="S85" ca="1">IF(T85&lt;&gt;"", IFERROR((T85 - MAX(_xlfn._xlws.FILTER(T$2:T84, N$2:N84 = "yes"))) * 24 * 60, ""), "")</f>
        <v/>
      </c>
      <c r="T85" s="2" t="str">
        <f t="shared" ca="1" si="2"/>
        <v/>
      </c>
      <c r="U85" s="2" t="str" cm="1">
        <f t="array" ref="U85">IF(N85&lt;&gt;"yes", "", IFERROR((T85 - INDEX(T$2:T85, MATCH(TRUE, INDEX((T$2:T85&lt;&gt;"")*(N$2:N85="yes"), 0), 0))) * 1440 / COUNTIF(N$2:N85, "yes"), ""))</f>
        <v/>
      </c>
    </row>
    <row r="86" spans="18:21" x14ac:dyDescent="0.25">
      <c r="R86" s="2" t="str">
        <f t="shared" si="3"/>
        <v/>
      </c>
      <c r="S86" s="2" t="str" cm="1">
        <f t="array" aca="1" ref="S86" ca="1">IF(T86&lt;&gt;"", IFERROR((T86 - MAX(_xlfn._xlws.FILTER(T$2:T85, N$2:N85 = "yes"))) * 24 * 60, ""), "")</f>
        <v/>
      </c>
      <c r="T86" s="2" t="str">
        <f t="shared" ca="1" si="2"/>
        <v/>
      </c>
      <c r="U86" s="2" t="str" cm="1">
        <f t="array" ref="U86">IF(N86&lt;&gt;"yes", "", IFERROR((T86 - INDEX(T$2:T86, MATCH(TRUE, INDEX((T$2:T86&lt;&gt;"")*(N$2:N86="yes"), 0), 0))) * 1440 / COUNTIF(N$2:N86, "yes"), ""))</f>
        <v/>
      </c>
    </row>
    <row r="87" spans="18:21" x14ac:dyDescent="0.25">
      <c r="R87" s="2" t="str">
        <f t="shared" si="3"/>
        <v/>
      </c>
      <c r="S87" s="2" t="str" cm="1">
        <f t="array" aca="1" ref="S87" ca="1">IF(T87&lt;&gt;"", IFERROR((T87 - MAX(_xlfn._xlws.FILTER(T$2:T86, N$2:N86 = "yes"))) * 24 * 60, ""), "")</f>
        <v/>
      </c>
      <c r="T87" s="2" t="str">
        <f t="shared" ca="1" si="2"/>
        <v/>
      </c>
      <c r="U87" s="2" t="str" cm="1">
        <f t="array" ref="U87">IF(N87&lt;&gt;"yes", "", IFERROR((T87 - INDEX(T$2:T87, MATCH(TRUE, INDEX((T$2:T87&lt;&gt;"")*(N$2:N87="yes"), 0), 0))) * 1440 / COUNTIF(N$2:N87, "yes"), ""))</f>
        <v/>
      </c>
    </row>
    <row r="88" spans="18:21" x14ac:dyDescent="0.25">
      <c r="R88" s="2" t="str">
        <f t="shared" si="3"/>
        <v/>
      </c>
      <c r="S88" s="2" t="str" cm="1">
        <f t="array" aca="1" ref="S88" ca="1">IF(T88&lt;&gt;"", IFERROR((T88 - MAX(_xlfn._xlws.FILTER(T$2:T87, N$2:N87 = "yes"))) * 24 * 60, ""), "")</f>
        <v/>
      </c>
      <c r="T88" s="2" t="str">
        <f t="shared" ca="1" si="2"/>
        <v/>
      </c>
      <c r="U88" s="2" t="str" cm="1">
        <f t="array" ref="U88">IF(N88&lt;&gt;"yes", "", IFERROR((T88 - INDEX(T$2:T88, MATCH(TRUE, INDEX((T$2:T88&lt;&gt;"")*(N$2:N88="yes"), 0), 0))) * 1440 / COUNTIF(N$2:N88, "yes"), ""))</f>
        <v/>
      </c>
    </row>
    <row r="89" spans="18:21" x14ac:dyDescent="0.25">
      <c r="R89" s="2" t="str">
        <f t="shared" si="3"/>
        <v/>
      </c>
      <c r="S89" s="2" t="str" cm="1">
        <f t="array" aca="1" ref="S89" ca="1">IF(T89&lt;&gt;"", IFERROR((T89 - MAX(_xlfn._xlws.FILTER(T$2:T88, N$2:N88 = "yes"))) * 24 * 60, ""), "")</f>
        <v/>
      </c>
      <c r="T89" s="2" t="str">
        <f t="shared" ca="1" si="2"/>
        <v/>
      </c>
      <c r="U89" s="2" t="str" cm="1">
        <f t="array" ref="U89">IF(N89&lt;&gt;"yes", "", IFERROR((T89 - INDEX(T$2:T89, MATCH(TRUE, INDEX((T$2:T89&lt;&gt;"")*(N$2:N89="yes"), 0), 0))) * 1440 / COUNTIF(N$2:N89, "yes"), ""))</f>
        <v/>
      </c>
    </row>
    <row r="90" spans="18:21" x14ac:dyDescent="0.25">
      <c r="R90" s="2" t="str">
        <f t="shared" si="3"/>
        <v/>
      </c>
      <c r="S90" s="2" t="str" cm="1">
        <f t="array" aca="1" ref="S90" ca="1">IF(T90&lt;&gt;"", IFERROR((T90 - MAX(_xlfn._xlws.FILTER(T$2:T89, N$2:N89 = "yes"))) * 24 * 60, ""), "")</f>
        <v/>
      </c>
      <c r="T90" s="2" t="str">
        <f t="shared" ca="1" si="2"/>
        <v/>
      </c>
      <c r="U90" s="2" t="str" cm="1">
        <f t="array" ref="U90">IF(N90&lt;&gt;"yes", "", IFERROR((T90 - INDEX(T$2:T90, MATCH(TRUE, INDEX((T$2:T90&lt;&gt;"")*(N$2:N90="yes"), 0), 0))) * 1440 / COUNTIF(N$2:N90, "yes"), ""))</f>
        <v/>
      </c>
    </row>
    <row r="91" spans="18:21" x14ac:dyDescent="0.25">
      <c r="R91" s="2" t="str">
        <f t="shared" si="3"/>
        <v/>
      </c>
      <c r="S91" s="2" t="str" cm="1">
        <f t="array" aca="1" ref="S91" ca="1">IF(T91&lt;&gt;"", IFERROR((T91 - MAX(_xlfn._xlws.FILTER(T$2:T90, N$2:N90 = "yes"))) * 24 * 60, ""), "")</f>
        <v/>
      </c>
      <c r="T91" s="2" t="str">
        <f t="shared" ca="1" si="2"/>
        <v/>
      </c>
      <c r="U91" s="2" t="str" cm="1">
        <f t="array" ref="U91">IF(N91&lt;&gt;"yes", "", IFERROR((T91 - INDEX(T$2:T91, MATCH(TRUE, INDEX((T$2:T91&lt;&gt;"")*(N$2:N91="yes"), 0), 0))) * 1440 / COUNTIF(N$2:N91, "yes"), ""))</f>
        <v/>
      </c>
    </row>
    <row r="92" spans="18:21" x14ac:dyDescent="0.25">
      <c r="R92" s="2" t="str">
        <f t="shared" si="3"/>
        <v/>
      </c>
      <c r="S92" s="2" t="str" cm="1">
        <f t="array" aca="1" ref="S92" ca="1">IF(T92&lt;&gt;"", IFERROR((T92 - MAX(_xlfn._xlws.FILTER(T$2:T91, N$2:N91 = "yes"))) * 24 * 60, ""), "")</f>
        <v/>
      </c>
      <c r="T92" s="2" t="str">
        <f t="shared" ca="1" si="2"/>
        <v/>
      </c>
      <c r="U92" s="2" t="str" cm="1">
        <f t="array" ref="U92">IF(N92&lt;&gt;"yes", "", IFERROR((T92 - INDEX(T$2:T92, MATCH(TRUE, INDEX((T$2:T92&lt;&gt;"")*(N$2:N92="yes"), 0), 0))) * 1440 / COUNTIF(N$2:N92, "yes"), ""))</f>
        <v/>
      </c>
    </row>
    <row r="93" spans="18:21" x14ac:dyDescent="0.25">
      <c r="R93" s="2" t="str">
        <f t="shared" si="3"/>
        <v/>
      </c>
      <c r="S93" s="2" t="str" cm="1">
        <f t="array" aca="1" ref="S93" ca="1">IF(T93&lt;&gt;"", IFERROR((T93 - MAX(_xlfn._xlws.FILTER(T$2:T92, N$2:N92 = "yes"))) * 24 * 60, ""), "")</f>
        <v/>
      </c>
      <c r="T93" s="2" t="str">
        <f t="shared" ca="1" si="2"/>
        <v/>
      </c>
      <c r="U93" s="2" t="str" cm="1">
        <f t="array" ref="U93">IF(N93&lt;&gt;"yes", "", IFERROR((T93 - INDEX(T$2:T93, MATCH(TRUE, INDEX((T$2:T93&lt;&gt;"")*(N$2:N93="yes"), 0), 0))) * 1440 / COUNTIF(N$2:N93, "yes"), ""))</f>
        <v/>
      </c>
    </row>
    <row r="94" spans="18:21" x14ac:dyDescent="0.25">
      <c r="R94" s="2" t="str">
        <f t="shared" si="3"/>
        <v/>
      </c>
      <c r="S94" s="2" t="str" cm="1">
        <f t="array" aca="1" ref="S94" ca="1">IF(T94&lt;&gt;"", IFERROR((T94 - MAX(_xlfn._xlws.FILTER(T$2:T93, N$2:N93 = "yes"))) * 24 * 60, ""), "")</f>
        <v/>
      </c>
      <c r="T94" s="2" t="str">
        <f t="shared" ca="1" si="2"/>
        <v/>
      </c>
      <c r="U94" s="2" t="str" cm="1">
        <f t="array" ref="U94">IF(N94&lt;&gt;"yes", "", IFERROR((T94 - INDEX(T$2:T94, MATCH(TRUE, INDEX((T$2:T94&lt;&gt;"")*(N$2:N94="yes"), 0), 0))) * 1440 / COUNTIF(N$2:N94, "yes"), ""))</f>
        <v/>
      </c>
    </row>
    <row r="95" spans="18:21" x14ac:dyDescent="0.25">
      <c r="R95" s="2" t="str">
        <f t="shared" si="3"/>
        <v/>
      </c>
      <c r="S95" s="2" t="str" cm="1">
        <f t="array" aca="1" ref="S95" ca="1">IF(T95&lt;&gt;"", IFERROR((T95 - MAX(_xlfn._xlws.FILTER(T$2:T94, N$2:N94 = "yes"))) * 24 * 60, ""), "")</f>
        <v/>
      </c>
      <c r="T95" s="2" t="str">
        <f t="shared" ca="1" si="2"/>
        <v/>
      </c>
      <c r="U95" s="2" t="str" cm="1">
        <f t="array" ref="U95">IF(N95&lt;&gt;"yes", "", IFERROR((T95 - INDEX(T$2:T95, MATCH(TRUE, INDEX((T$2:T95&lt;&gt;"")*(N$2:N95="yes"), 0), 0))) * 1440 / COUNTIF(N$2:N95, "yes"), ""))</f>
        <v/>
      </c>
    </row>
    <row r="96" spans="18:21" x14ac:dyDescent="0.25">
      <c r="R96" s="2" t="str">
        <f t="shared" si="3"/>
        <v/>
      </c>
      <c r="S96" s="2" t="str" cm="1">
        <f t="array" aca="1" ref="S96" ca="1">IF(T96&lt;&gt;"", IFERROR((T96 - MAX(_xlfn._xlws.FILTER(T$2:T95, N$2:N95 = "yes"))) * 24 * 60, ""), "")</f>
        <v/>
      </c>
      <c r="T96" s="2" t="str">
        <f t="shared" ca="1" si="2"/>
        <v/>
      </c>
      <c r="U96" s="2" t="str" cm="1">
        <f t="array" ref="U96">IF(N96&lt;&gt;"yes", "", IFERROR((T96 - INDEX(T$2:T96, MATCH(TRUE, INDEX((T$2:T96&lt;&gt;"")*(N$2:N96="yes"), 0), 0))) * 1440 / COUNTIF(N$2:N96, "yes"), ""))</f>
        <v/>
      </c>
    </row>
    <row r="97" spans="18:21" x14ac:dyDescent="0.25">
      <c r="R97" s="2" t="str">
        <f t="shared" si="3"/>
        <v/>
      </c>
      <c r="S97" s="2" t="str" cm="1">
        <f t="array" aca="1" ref="S97" ca="1">IF(T97&lt;&gt;"", IFERROR((T97 - MAX(_xlfn._xlws.FILTER(T$2:T96, N$2:N96 = "yes"))) * 24 * 60, ""), "")</f>
        <v/>
      </c>
      <c r="T97" s="2" t="str">
        <f t="shared" ca="1" si="2"/>
        <v/>
      </c>
      <c r="U97" s="2" t="str" cm="1">
        <f t="array" ref="U97">IF(N97&lt;&gt;"yes", "", IFERROR((T97 - INDEX(T$2:T97, MATCH(TRUE, INDEX((T$2:T97&lt;&gt;"")*(N$2:N97="yes"), 0), 0))) * 1440 / COUNTIF(N$2:N97, "yes"), ""))</f>
        <v/>
      </c>
    </row>
    <row r="98" spans="18:21" x14ac:dyDescent="0.25">
      <c r="R98" s="2" t="str">
        <f t="shared" si="3"/>
        <v/>
      </c>
      <c r="S98" s="2" t="str" cm="1">
        <f t="array" aca="1" ref="S98" ca="1">IF(T98&lt;&gt;"", IFERROR((T98 - MAX(_xlfn._xlws.FILTER(T$2:T97, N$2:N97 = "yes"))) * 24 * 60, ""), "")</f>
        <v/>
      </c>
      <c r="T98" s="2" t="str">
        <f t="shared" ca="1" si="2"/>
        <v/>
      </c>
      <c r="U98" s="2" t="str" cm="1">
        <f t="array" ref="U98">IF(N98&lt;&gt;"yes", "", IFERROR((T98 - INDEX(T$2:T98, MATCH(TRUE, INDEX((T$2:T98&lt;&gt;"")*(N$2:N98="yes"), 0), 0))) * 1440 / COUNTIF(N$2:N98, "yes"), ""))</f>
        <v/>
      </c>
    </row>
    <row r="99" spans="18:21" x14ac:dyDescent="0.25">
      <c r="R99" s="2" t="str">
        <f t="shared" si="3"/>
        <v/>
      </c>
      <c r="S99" s="2" t="str" cm="1">
        <f t="array" aca="1" ref="S99" ca="1">IF(T99&lt;&gt;"", IFERROR((T99 - MAX(_xlfn._xlws.FILTER(T$2:T98, N$2:N98 = "yes"))) * 24 * 60, ""), "")</f>
        <v/>
      </c>
      <c r="T99" s="2" t="str">
        <f t="shared" ca="1" si="2"/>
        <v/>
      </c>
      <c r="U99" s="2" t="str" cm="1">
        <f t="array" ref="U99">IF(N99&lt;&gt;"yes", "", IFERROR((T99 - INDEX(T$2:T99, MATCH(TRUE, INDEX((T$2:T99&lt;&gt;"")*(N$2:N99="yes"), 0), 0))) * 1440 / COUNTIF(N$2:N99, "yes"), ""))</f>
        <v/>
      </c>
    </row>
    <row r="100" spans="18:21" x14ac:dyDescent="0.25">
      <c r="R100" s="2" t="str">
        <f t="shared" si="3"/>
        <v/>
      </c>
      <c r="S100" s="2" t="str" cm="1">
        <f t="array" aca="1" ref="S100" ca="1">IF(T100&lt;&gt;"", IFERROR((T100 - MAX(_xlfn._xlws.FILTER(T$2:T99, N$2:N99 = "yes"))) * 24 * 60, ""), "")</f>
        <v/>
      </c>
      <c r="T100" s="2" t="str">
        <f t="shared" ca="1" si="2"/>
        <v/>
      </c>
      <c r="U100" s="2" t="str" cm="1">
        <f t="array" ref="U100">IF(N100&lt;&gt;"yes", "", IFERROR((T100 - INDEX(T$2:T100, MATCH(TRUE, INDEX((T$2:T100&lt;&gt;"")*(N$2:N100="yes"), 0), 0))) * 1440 / COUNTIF(N$2:N100, "yes"), ""))</f>
        <v/>
      </c>
    </row>
    <row r="101" spans="18:21" x14ac:dyDescent="0.25">
      <c r="R101" s="2" t="str">
        <f t="shared" si="3"/>
        <v/>
      </c>
      <c r="S101" s="2" t="str" cm="1">
        <f t="array" aca="1" ref="S101" ca="1">IF(T101&lt;&gt;"", IFERROR((T101 - MAX(_xlfn._xlws.FILTER(T$2:T100, N$2:N100 = "yes"))) * 24 * 60, ""), "")</f>
        <v/>
      </c>
      <c r="T101" s="2" t="str">
        <f t="shared" ca="1" si="2"/>
        <v/>
      </c>
      <c r="U101" s="2" t="str" cm="1">
        <f t="array" ref="U101">IF(N101&lt;&gt;"yes", "", IFERROR((T101 - INDEX(T$2:T101, MATCH(TRUE, INDEX((T$2:T101&lt;&gt;"")*(N$2:N101="yes"), 0), 0))) * 1440 / COUNTIF(N$2:N101, "yes"), ""))</f>
        <v/>
      </c>
    </row>
    <row r="102" spans="18:21" x14ac:dyDescent="0.25">
      <c r="R102" s="2" t="str">
        <f t="shared" si="3"/>
        <v/>
      </c>
      <c r="S102" s="2" t="str" cm="1">
        <f t="array" aca="1" ref="S102" ca="1">IF(T102&lt;&gt;"", IFERROR((T102 - MAX(_xlfn._xlws.FILTER(T$2:T101, N$2:N101 = "yes"))) * 24 * 60, ""), "")</f>
        <v/>
      </c>
      <c r="T102" s="2" t="str">
        <f t="shared" ca="1" si="2"/>
        <v/>
      </c>
      <c r="U102" s="2" t="str" cm="1">
        <f t="array" ref="U102">IF(N102&lt;&gt;"yes", "", IFERROR((T102 - INDEX(T$2:T102, MATCH(TRUE, INDEX((T$2:T102&lt;&gt;"")*(N$2:N102="yes"), 0), 0))) * 1440 / COUNTIF(N$2:N102, "yes"), ""))</f>
        <v/>
      </c>
    </row>
    <row r="103" spans="18:21" x14ac:dyDescent="0.25">
      <c r="R103" s="2" t="str">
        <f t="shared" si="3"/>
        <v/>
      </c>
      <c r="S103" s="2" t="str" cm="1">
        <f t="array" aca="1" ref="S103" ca="1">IF(T103&lt;&gt;"", IFERROR((T103 - MAX(_xlfn._xlws.FILTER(T$2:T102, N$2:N102 = "yes"))) * 24 * 60, ""), "")</f>
        <v/>
      </c>
      <c r="T103" s="2" t="str">
        <f t="shared" ca="1" si="2"/>
        <v/>
      </c>
      <c r="U103" s="2" t="str" cm="1">
        <f t="array" ref="U103">IF(N103&lt;&gt;"yes", "", IFERROR((T103 - INDEX(T$2:T103, MATCH(TRUE, INDEX((T$2:T103&lt;&gt;"")*(N$2:N103="yes"), 0), 0))) * 1440 / COUNTIF(N$2:N103, "yes"), ""))</f>
        <v/>
      </c>
    </row>
    <row r="104" spans="18:21" x14ac:dyDescent="0.25">
      <c r="R104" s="2" t="str">
        <f t="shared" si="3"/>
        <v/>
      </c>
      <c r="S104" s="2" t="str" cm="1">
        <f t="array" aca="1" ref="S104" ca="1">IF(T104&lt;&gt;"", IFERROR((T104 - MAX(_xlfn._xlws.FILTER(T$2:T103, N$2:N103 = "yes"))) * 24 * 60, ""), "")</f>
        <v/>
      </c>
      <c r="T104" s="2" t="str">
        <f t="shared" ca="1" si="2"/>
        <v/>
      </c>
      <c r="U104" s="2" t="str" cm="1">
        <f t="array" ref="U104">IF(N104&lt;&gt;"yes", "", IFERROR((T104 - INDEX(T$2:T104, MATCH(TRUE, INDEX((T$2:T104&lt;&gt;"")*(N$2:N104="yes"), 0), 0))) * 1440 / COUNTIF(N$2:N104, "yes"), ""))</f>
        <v/>
      </c>
    </row>
    <row r="105" spans="18:21" x14ac:dyDescent="0.25">
      <c r="R105" s="2" t="str">
        <f t="shared" si="3"/>
        <v/>
      </c>
      <c r="S105" s="2" t="str" cm="1">
        <f t="array" aca="1" ref="S105" ca="1">IF(T105&lt;&gt;"", IFERROR((T105 - MAX(_xlfn._xlws.FILTER(T$2:T104, N$2:N104 = "yes"))) * 24 * 60, ""), "")</f>
        <v/>
      </c>
      <c r="T105" s="2" t="str">
        <f t="shared" ca="1" si="2"/>
        <v/>
      </c>
      <c r="U105" s="2" t="str" cm="1">
        <f t="array" ref="U105">IF(N105&lt;&gt;"yes", "", IFERROR((T105 - INDEX(T$2:T105, MATCH(TRUE, INDEX((T$2:T105&lt;&gt;"")*(N$2:N105="yes"), 0), 0))) * 1440 / COUNTIF(N$2:N105, "yes"), ""))</f>
        <v/>
      </c>
    </row>
    <row r="106" spans="18:21" x14ac:dyDescent="0.25">
      <c r="R106" s="2" t="str">
        <f t="shared" si="3"/>
        <v/>
      </c>
      <c r="S106" s="2" t="str" cm="1">
        <f t="array" aca="1" ref="S106" ca="1">IF(T106&lt;&gt;"", IFERROR((T106 - MAX(_xlfn._xlws.FILTER(T$2:T105, N$2:N105 = "yes"))) * 24 * 60, ""), "")</f>
        <v/>
      </c>
      <c r="T106" s="2" t="str">
        <f t="shared" ca="1" si="2"/>
        <v/>
      </c>
      <c r="U106" s="2" t="str" cm="1">
        <f t="array" ref="U106">IF(N106&lt;&gt;"yes", "", IFERROR((T106 - INDEX(T$2:T106, MATCH(TRUE, INDEX((T$2:T106&lt;&gt;"")*(N$2:N106="yes"), 0), 0))) * 1440 / COUNTIF(N$2:N106, "yes"), ""))</f>
        <v/>
      </c>
    </row>
    <row r="107" spans="18:21" x14ac:dyDescent="0.25">
      <c r="R107" s="2" t="str">
        <f t="shared" si="3"/>
        <v/>
      </c>
      <c r="S107" s="2" t="str" cm="1">
        <f t="array" aca="1" ref="S107" ca="1">IF(T107&lt;&gt;"", IFERROR((T107 - MAX(_xlfn._xlws.FILTER(T$2:T106, N$2:N106 = "yes"))) * 24 * 60, ""), "")</f>
        <v/>
      </c>
      <c r="T107" s="2" t="str">
        <f t="shared" ca="1" si="2"/>
        <v/>
      </c>
      <c r="U107" s="2" t="str" cm="1">
        <f t="array" ref="U107">IF(N107&lt;&gt;"yes", "", IFERROR((T107 - INDEX(T$2:T107, MATCH(TRUE, INDEX((T$2:T107&lt;&gt;"")*(N$2:N107="yes"), 0), 0))) * 1440 / COUNTIF(N$2:N107, "yes"), ""))</f>
        <v/>
      </c>
    </row>
    <row r="108" spans="18:21" x14ac:dyDescent="0.25">
      <c r="R108" s="2" t="str">
        <f t="shared" si="3"/>
        <v/>
      </c>
      <c r="S108" s="2" t="str" cm="1">
        <f t="array" aca="1" ref="S108" ca="1">IF(T108&lt;&gt;"", IFERROR((T108 - MAX(_xlfn._xlws.FILTER(T$2:T107, N$2:N107 = "yes"))) * 24 * 60, ""), "")</f>
        <v/>
      </c>
      <c r="T108" s="2" t="str">
        <f t="shared" ca="1" si="2"/>
        <v/>
      </c>
      <c r="U108" s="2" t="str" cm="1">
        <f t="array" ref="U108">IF(N108&lt;&gt;"yes", "", IFERROR((T108 - INDEX(T$2:T108, MATCH(TRUE, INDEX((T$2:T108&lt;&gt;"")*(N$2:N108="yes"), 0), 0))) * 1440 / COUNTIF(N$2:N108, "yes"), ""))</f>
        <v/>
      </c>
    </row>
    <row r="109" spans="18:21" x14ac:dyDescent="0.25">
      <c r="R109" s="2" t="str">
        <f t="shared" si="3"/>
        <v/>
      </c>
      <c r="S109" s="2" t="str" cm="1">
        <f t="array" aca="1" ref="S109" ca="1">IF(T109&lt;&gt;"", IFERROR((T109 - MAX(_xlfn._xlws.FILTER(T$2:T108, N$2:N108 = "yes"))) * 24 * 60, ""), "")</f>
        <v/>
      </c>
      <c r="T109" s="2" t="str">
        <f t="shared" ca="1" si="2"/>
        <v/>
      </c>
      <c r="U109" s="2" t="str" cm="1">
        <f t="array" ref="U109">IF(N109&lt;&gt;"yes", "", IFERROR((T109 - INDEX(T$2:T109, MATCH(TRUE, INDEX((T$2:T109&lt;&gt;"")*(N$2:N109="yes"), 0), 0))) * 1440 / COUNTIF(N$2:N109, "yes"), ""))</f>
        <v/>
      </c>
    </row>
    <row r="110" spans="18:21" x14ac:dyDescent="0.25">
      <c r="R110" s="2" t="str">
        <f t="shared" si="3"/>
        <v/>
      </c>
      <c r="S110" s="2" t="str" cm="1">
        <f t="array" aca="1" ref="S110" ca="1">IF(T110&lt;&gt;"", IFERROR((T110 - MAX(_xlfn._xlws.FILTER(T$2:T109, N$2:N109 = "yes"))) * 24 * 60, ""), "")</f>
        <v/>
      </c>
      <c r="T110" s="2" t="str">
        <f t="shared" ca="1" si="2"/>
        <v/>
      </c>
      <c r="U110" s="2" t="str" cm="1">
        <f t="array" ref="U110">IF(N110&lt;&gt;"yes", "", IFERROR((T110 - INDEX(T$2:T110, MATCH(TRUE, INDEX((T$2:T110&lt;&gt;"")*(N$2:N110="yes"), 0), 0))) * 1440 / COUNTIF(N$2:N110, "yes"), ""))</f>
        <v/>
      </c>
    </row>
    <row r="111" spans="18:21" x14ac:dyDescent="0.25">
      <c r="R111" s="2" t="str">
        <f t="shared" si="3"/>
        <v/>
      </c>
      <c r="S111" s="2" t="str" cm="1">
        <f t="array" aca="1" ref="S111" ca="1">IF(T111&lt;&gt;"", IFERROR((T111 - MAX(_xlfn._xlws.FILTER(T$2:T110, N$2:N110 = "yes"))) * 24 * 60, ""), "")</f>
        <v/>
      </c>
      <c r="T111" s="2" t="str">
        <f t="shared" ca="1" si="2"/>
        <v/>
      </c>
      <c r="U111" s="2" t="str" cm="1">
        <f t="array" ref="U111">IF(N111&lt;&gt;"yes", "", IFERROR((T111 - INDEX(T$2:T111, MATCH(TRUE, INDEX((T$2:T111&lt;&gt;"")*(N$2:N111="yes"), 0), 0))) * 1440 / COUNTIF(N$2:N111, "yes"), ""))</f>
        <v/>
      </c>
    </row>
    <row r="112" spans="18:21" x14ac:dyDescent="0.25">
      <c r="R112" s="2" t="str">
        <f t="shared" si="3"/>
        <v/>
      </c>
      <c r="S112" s="2" t="str" cm="1">
        <f t="array" aca="1" ref="S112" ca="1">IF(T112&lt;&gt;"", IFERROR((T112 - MAX(_xlfn._xlws.FILTER(T$2:T111, N$2:N111 = "yes"))) * 24 * 60, ""), "")</f>
        <v/>
      </c>
      <c r="T112" s="2" t="str">
        <f t="shared" ca="1" si="2"/>
        <v/>
      </c>
      <c r="U112" s="2" t="str" cm="1">
        <f t="array" ref="U112">IF(N112&lt;&gt;"yes", "", IFERROR((T112 - INDEX(T$2:T112, MATCH(TRUE, INDEX((T$2:T112&lt;&gt;"")*(N$2:N112="yes"), 0), 0))) * 1440 / COUNTIF(N$2:N112, "yes"), ""))</f>
        <v/>
      </c>
    </row>
    <row r="113" spans="18:21" x14ac:dyDescent="0.25">
      <c r="R113" s="2" t="str">
        <f t="shared" si="3"/>
        <v/>
      </c>
      <c r="S113" s="2" t="str" cm="1">
        <f t="array" aca="1" ref="S113" ca="1">IF(T113&lt;&gt;"", IFERROR((T113 - MAX(_xlfn._xlws.FILTER(T$2:T112, N$2:N112 = "yes"))) * 24 * 60, ""), "")</f>
        <v/>
      </c>
      <c r="T113" s="2" t="str">
        <f t="shared" ca="1" si="2"/>
        <v/>
      </c>
      <c r="U113" s="2" t="str" cm="1">
        <f t="array" ref="U113">IF(N113&lt;&gt;"yes", "", IFERROR((T113 - INDEX(T$2:T113, MATCH(TRUE, INDEX((T$2:T113&lt;&gt;"")*(N$2:N113="yes"), 0), 0))) * 1440 / COUNTIF(N$2:N113, "yes"), ""))</f>
        <v/>
      </c>
    </row>
    <row r="114" spans="18:21" x14ac:dyDescent="0.25">
      <c r="R114" s="2" t="str">
        <f t="shared" si="3"/>
        <v/>
      </c>
      <c r="S114" s="2" t="str" cm="1">
        <f t="array" aca="1" ref="S114" ca="1">IF(T114&lt;&gt;"", IFERROR((T114 - MAX(_xlfn._xlws.FILTER(T$2:T113, N$2:N113 = "yes"))) * 24 * 60, ""), "")</f>
        <v/>
      </c>
      <c r="T114" s="2" t="str">
        <f t="shared" ca="1" si="2"/>
        <v/>
      </c>
      <c r="U114" s="2" t="str" cm="1">
        <f t="array" ref="U114">IF(N114&lt;&gt;"yes", "", IFERROR((T114 - INDEX(T$2:T114, MATCH(TRUE, INDEX((T$2:T114&lt;&gt;"")*(N$2:N114="yes"), 0), 0))) * 1440 / COUNTIF(N$2:N114, "yes"), ""))</f>
        <v/>
      </c>
    </row>
    <row r="115" spans="18:21" x14ac:dyDescent="0.25">
      <c r="R115" s="2" t="str">
        <f t="shared" si="3"/>
        <v/>
      </c>
      <c r="S115" s="2" t="str" cm="1">
        <f t="array" aca="1" ref="S115" ca="1">IF(T115&lt;&gt;"", IFERROR((T115 - MAX(_xlfn._xlws.FILTER(T$2:T114, N$2:N114 = "yes"))) * 24 * 60, ""), "")</f>
        <v/>
      </c>
      <c r="T115" s="2" t="str">
        <f t="shared" ca="1" si="2"/>
        <v/>
      </c>
      <c r="U115" s="2" t="str" cm="1">
        <f t="array" ref="U115">IF(N115&lt;&gt;"yes", "", IFERROR((T115 - INDEX(T$2:T115, MATCH(TRUE, INDEX((T$2:T115&lt;&gt;"")*(N$2:N115="yes"), 0), 0))) * 1440 / COUNTIF(N$2:N115, "yes"), ""))</f>
        <v/>
      </c>
    </row>
    <row r="116" spans="18:21" x14ac:dyDescent="0.25">
      <c r="R116" s="2" t="str">
        <f t="shared" si="3"/>
        <v/>
      </c>
      <c r="S116" s="2" t="str" cm="1">
        <f t="array" aca="1" ref="S116" ca="1">IF(T116&lt;&gt;"", IFERROR((T116 - MAX(_xlfn._xlws.FILTER(T$2:T115, N$2:N115 = "yes"))) * 24 * 60, ""), "")</f>
        <v/>
      </c>
      <c r="T116" s="2" t="str">
        <f t="shared" ca="1" si="2"/>
        <v/>
      </c>
      <c r="U116" s="2" t="str" cm="1">
        <f t="array" ref="U116">IF(N116&lt;&gt;"yes", "", IFERROR((T116 - INDEX(T$2:T116, MATCH(TRUE, INDEX((T$2:T116&lt;&gt;"")*(N$2:N116="yes"), 0), 0))) * 1440 / COUNTIF(N$2:N116, "yes"), ""))</f>
        <v/>
      </c>
    </row>
    <row r="117" spans="18:21" x14ac:dyDescent="0.25">
      <c r="R117" s="2" t="str">
        <f t="shared" si="3"/>
        <v/>
      </c>
      <c r="S117" s="2" t="str" cm="1">
        <f t="array" aca="1" ref="S117" ca="1">IF(T117&lt;&gt;"", IFERROR((T117 - MAX(_xlfn._xlws.FILTER(T$2:T116, N$2:N116 = "yes"))) * 24 * 60, ""), "")</f>
        <v/>
      </c>
      <c r="T117" s="2" t="str">
        <f t="shared" ca="1" si="2"/>
        <v/>
      </c>
      <c r="U117" s="2" t="str" cm="1">
        <f t="array" ref="U117">IF(N117&lt;&gt;"yes", "", IFERROR((T117 - INDEX(T$2:T117, MATCH(TRUE, INDEX((T$2:T117&lt;&gt;"")*(N$2:N117="yes"), 0), 0))) * 1440 / COUNTIF(N$2:N117, "yes"), ""))</f>
        <v/>
      </c>
    </row>
    <row r="118" spans="18:21" x14ac:dyDescent="0.25">
      <c r="R118" s="2" t="str">
        <f t="shared" si="3"/>
        <v/>
      </c>
      <c r="S118" s="2" t="str" cm="1">
        <f t="array" aca="1" ref="S118" ca="1">IF(T118&lt;&gt;"", IFERROR((T118 - MAX(_xlfn._xlws.FILTER(T$2:T117, N$2:N117 = "yes"))) * 24 * 60, ""), "")</f>
        <v/>
      </c>
      <c r="T118" s="2" t="str">
        <f t="shared" ca="1" si="2"/>
        <v/>
      </c>
      <c r="U118" s="2" t="str" cm="1">
        <f t="array" ref="U118">IF(N118&lt;&gt;"yes", "", IFERROR((T118 - INDEX(T$2:T118, MATCH(TRUE, INDEX((T$2:T118&lt;&gt;"")*(N$2:N118="yes"), 0), 0))) * 1440 / COUNTIF(N$2:N118, "yes"), ""))</f>
        <v/>
      </c>
    </row>
    <row r="119" spans="18:21" x14ac:dyDescent="0.25">
      <c r="R119" s="2" t="str">
        <f t="shared" si="3"/>
        <v/>
      </c>
      <c r="S119" s="2" t="str" cm="1">
        <f t="array" aca="1" ref="S119" ca="1">IF(T119&lt;&gt;"", IFERROR((T119 - MAX(_xlfn._xlws.FILTER(T$2:T118, N$2:N118 = "yes"))) * 24 * 60, ""), "")</f>
        <v/>
      </c>
      <c r="T119" s="2" t="str">
        <f t="shared" ca="1" si="2"/>
        <v/>
      </c>
      <c r="U119" s="2" t="str" cm="1">
        <f t="array" ref="U119">IF(N119&lt;&gt;"yes", "", IFERROR((T119 - INDEX(T$2:T119, MATCH(TRUE, INDEX((T$2:T119&lt;&gt;"")*(N$2:N119="yes"), 0), 0))) * 1440 / COUNTIF(N$2:N119, "yes"), ""))</f>
        <v/>
      </c>
    </row>
    <row r="120" spans="18:21" x14ac:dyDescent="0.25">
      <c r="R120" s="2" t="str">
        <f t="shared" si="3"/>
        <v/>
      </c>
      <c r="S120" s="2" t="str" cm="1">
        <f t="array" aca="1" ref="S120" ca="1">IF(T120&lt;&gt;"", IFERROR((T120 - MAX(_xlfn._xlws.FILTER(T$2:T119, N$2:N119 = "yes"))) * 24 * 60, ""), "")</f>
        <v/>
      </c>
      <c r="T120" s="2" t="str">
        <f t="shared" ca="1" si="2"/>
        <v/>
      </c>
      <c r="U120" s="2" t="str" cm="1">
        <f t="array" ref="U120">IF(N120&lt;&gt;"yes", "", IFERROR((T120 - INDEX(T$2:T120, MATCH(TRUE, INDEX((T$2:T120&lt;&gt;"")*(N$2:N120="yes"), 0), 0))) * 1440 / COUNTIF(N$2:N120, "yes"), ""))</f>
        <v/>
      </c>
    </row>
    <row r="121" spans="18:21" x14ac:dyDescent="0.25">
      <c r="R121" s="2" t="str">
        <f t="shared" si="3"/>
        <v/>
      </c>
      <c r="S121" s="2" t="str" cm="1">
        <f t="array" aca="1" ref="S121" ca="1">IF(T121&lt;&gt;"", IFERROR((T121 - MAX(_xlfn._xlws.FILTER(T$2:T120, N$2:N120 = "yes"))) * 24 * 60, ""), "")</f>
        <v/>
      </c>
      <c r="T121" s="2" t="str">
        <f t="shared" ca="1" si="2"/>
        <v/>
      </c>
      <c r="U121" s="2" t="str" cm="1">
        <f t="array" ref="U121">IF(N121&lt;&gt;"yes", "", IFERROR((T121 - INDEX(T$2:T121, MATCH(TRUE, INDEX((T$2:T121&lt;&gt;"")*(N$2:N121="yes"), 0), 0))) * 1440 / COUNTIF(N$2:N121, "yes"), ""))</f>
        <v/>
      </c>
    </row>
    <row r="122" spans="18:21" x14ac:dyDescent="0.25">
      <c r="R122" s="2" t="str">
        <f t="shared" si="3"/>
        <v/>
      </c>
      <c r="S122" s="2" t="str" cm="1">
        <f t="array" aca="1" ref="S122" ca="1">IF(T122&lt;&gt;"", IFERROR((T122 - MAX(_xlfn._xlws.FILTER(T$2:T121, N$2:N121 = "yes"))) * 24 * 60, ""), "")</f>
        <v/>
      </c>
      <c r="T122" s="2" t="str">
        <f t="shared" ca="1" si="2"/>
        <v/>
      </c>
      <c r="U122" s="2" t="str" cm="1">
        <f t="array" ref="U122">IF(N122&lt;&gt;"yes", "", IFERROR((T122 - INDEX(T$2:T122, MATCH(TRUE, INDEX((T$2:T122&lt;&gt;"")*(N$2:N122="yes"), 0), 0))) * 1440 / COUNTIF(N$2:N122, "yes"), ""))</f>
        <v/>
      </c>
    </row>
    <row r="123" spans="18:21" x14ac:dyDescent="0.25">
      <c r="R123" s="2" t="str">
        <f t="shared" si="3"/>
        <v/>
      </c>
      <c r="S123" s="2" t="str" cm="1">
        <f t="array" aca="1" ref="S123" ca="1">IF(T123&lt;&gt;"", IFERROR((T123 - MAX(_xlfn._xlws.FILTER(T$2:T122, N$2:N122 = "yes"))) * 24 * 60, ""), "")</f>
        <v/>
      </c>
      <c r="T123" s="2" t="str">
        <f t="shared" ca="1" si="2"/>
        <v/>
      </c>
      <c r="U123" s="2" t="str" cm="1">
        <f t="array" ref="U123">IF(N123&lt;&gt;"yes", "", IFERROR((T123 - INDEX(T$2:T123, MATCH(TRUE, INDEX((T$2:T123&lt;&gt;"")*(N$2:N123="yes"), 0), 0))) * 1440 / COUNTIF(N$2:N123, "yes"), ""))</f>
        <v/>
      </c>
    </row>
    <row r="124" spans="18:21" x14ac:dyDescent="0.25">
      <c r="R124" s="2" t="str">
        <f t="shared" si="3"/>
        <v/>
      </c>
      <c r="S124" s="2" t="str" cm="1">
        <f t="array" aca="1" ref="S124" ca="1">IF(T124&lt;&gt;"", IFERROR((T124 - MAX(_xlfn._xlws.FILTER(T$2:T123, N$2:N123 = "yes"))) * 24 * 60, ""), "")</f>
        <v/>
      </c>
      <c r="T124" s="2" t="str">
        <f t="shared" ca="1" si="2"/>
        <v/>
      </c>
      <c r="U124" s="2" t="str" cm="1">
        <f t="array" ref="U124">IF(N124&lt;&gt;"yes", "", IFERROR((T124 - INDEX(T$2:T124, MATCH(TRUE, INDEX((T$2:T124&lt;&gt;"")*(N$2:N124="yes"), 0), 0))) * 1440 / COUNTIF(N$2:N124, "yes"), ""))</f>
        <v/>
      </c>
    </row>
    <row r="125" spans="18:21" x14ac:dyDescent="0.25">
      <c r="R125" s="2" t="str">
        <f t="shared" si="3"/>
        <v/>
      </c>
      <c r="S125" s="2" t="str" cm="1">
        <f t="array" aca="1" ref="S125" ca="1">IF(T125&lt;&gt;"", IFERROR((T125 - MAX(_xlfn._xlws.FILTER(T$2:T124, N$2:N124 = "yes"))) * 24 * 60, ""), "")</f>
        <v/>
      </c>
      <c r="T125" s="2" t="str">
        <f t="shared" ca="1" si="2"/>
        <v/>
      </c>
      <c r="U125" s="2" t="str" cm="1">
        <f t="array" ref="U125">IF(N125&lt;&gt;"yes", "", IFERROR((T125 - INDEX(T$2:T125, MATCH(TRUE, INDEX((T$2:T125&lt;&gt;"")*(N$2:N125="yes"), 0), 0))) * 1440 / COUNTIF(N$2:N125, "yes"), ""))</f>
        <v/>
      </c>
    </row>
    <row r="126" spans="18:21" x14ac:dyDescent="0.25">
      <c r="R126" s="2" t="str">
        <f t="shared" si="3"/>
        <v/>
      </c>
      <c r="S126" s="2" t="str" cm="1">
        <f t="array" aca="1" ref="S126" ca="1">IF(T126&lt;&gt;"", IFERROR((T126 - MAX(_xlfn._xlws.FILTER(T$2:T125, N$2:N125 = "yes"))) * 24 * 60, ""), "")</f>
        <v/>
      </c>
      <c r="T126" s="2" t="str">
        <f t="shared" ca="1" si="2"/>
        <v/>
      </c>
      <c r="U126" s="2" t="str" cm="1">
        <f t="array" ref="U126">IF(N126&lt;&gt;"yes", "", IFERROR((T126 - INDEX(T$2:T126, MATCH(TRUE, INDEX((T$2:T126&lt;&gt;"")*(N$2:N126="yes"), 0), 0))) * 1440 / COUNTIF(N$2:N126, "yes"), ""))</f>
        <v/>
      </c>
    </row>
    <row r="127" spans="18:21" x14ac:dyDescent="0.25">
      <c r="R127" s="2" t="str">
        <f t="shared" si="3"/>
        <v/>
      </c>
      <c r="S127" s="2" t="str" cm="1">
        <f t="array" aca="1" ref="S127" ca="1">IF(T127&lt;&gt;"", IFERROR((T127 - MAX(_xlfn._xlws.FILTER(T$2:T126, N$2:N126 = "yes"))) * 24 * 60, ""), "")</f>
        <v/>
      </c>
      <c r="T127" s="2" t="str">
        <f t="shared" ca="1" si="2"/>
        <v/>
      </c>
      <c r="U127" s="2" t="str" cm="1">
        <f t="array" ref="U127">IF(N127&lt;&gt;"yes", "", IFERROR((T127 - INDEX(T$2:T127, MATCH(TRUE, INDEX((T$2:T127&lt;&gt;"")*(N$2:N127="yes"), 0), 0))) * 1440 / COUNTIF(N$2:N127, "yes"), ""))</f>
        <v/>
      </c>
    </row>
    <row r="128" spans="18:21" x14ac:dyDescent="0.25">
      <c r="R128" s="2" t="str">
        <f t="shared" si="3"/>
        <v/>
      </c>
      <c r="S128" s="2" t="str" cm="1">
        <f t="array" aca="1" ref="S128" ca="1">IF(T128&lt;&gt;"", IFERROR((T128 - MAX(_xlfn._xlws.FILTER(T$2:T127, N$2:N127 = "yes"))) * 24 * 60, ""), "")</f>
        <v/>
      </c>
      <c r="T128" s="2" t="str">
        <f t="shared" ca="1" si="2"/>
        <v/>
      </c>
      <c r="U128" s="2" t="str" cm="1">
        <f t="array" ref="U128">IF(N128&lt;&gt;"yes", "", IFERROR((T128 - INDEX(T$2:T128, MATCH(TRUE, INDEX((T$2:T128&lt;&gt;"")*(N$2:N128="yes"), 0), 0))) * 1440 / COUNTIF(N$2:N128, "yes"), ""))</f>
        <v/>
      </c>
    </row>
    <row r="129" spans="18:21" x14ac:dyDescent="0.25">
      <c r="R129" s="2" t="str">
        <f t="shared" si="3"/>
        <v/>
      </c>
      <c r="S129" s="2" t="str" cm="1">
        <f t="array" aca="1" ref="S129" ca="1">IF(T129&lt;&gt;"", IFERROR((T129 - MAX(_xlfn._xlws.FILTER(T$2:T128, N$2:N128 = "yes"))) * 24 * 60, ""), "")</f>
        <v/>
      </c>
      <c r="T129" s="2" t="str">
        <f t="shared" ca="1" si="2"/>
        <v/>
      </c>
      <c r="U129" s="2" t="str" cm="1">
        <f t="array" ref="U129">IF(N129&lt;&gt;"yes", "", IFERROR((T129 - INDEX(T$2:T129, MATCH(TRUE, INDEX((T$2:T129&lt;&gt;"")*(N$2:N129="yes"), 0), 0))) * 1440 / COUNTIF(N$2:N129, "yes"), ""))</f>
        <v/>
      </c>
    </row>
    <row r="130" spans="18:21" x14ac:dyDescent="0.25">
      <c r="R130" s="2" t="str">
        <f t="shared" si="3"/>
        <v/>
      </c>
      <c r="S130" s="2" t="str" cm="1">
        <f t="array" aca="1" ref="S130" ca="1">IF(T130&lt;&gt;"", IFERROR((T130 - MAX(_xlfn._xlws.FILTER(T$2:T129, N$2:N129 = "yes"))) * 24 * 60, ""), "")</f>
        <v/>
      </c>
      <c r="T130" s="2" t="str">
        <f t="shared" ref="T130:T193" ca="1" si="4">IF(N130="yes", NOW(), "")</f>
        <v/>
      </c>
      <c r="U130" s="2" t="str" cm="1">
        <f t="array" ref="U130">IF(N130&lt;&gt;"yes", "", IFERROR((T130 - INDEX(T$2:T130, MATCH(TRUE, INDEX((T$2:T130&lt;&gt;"")*(N$2:N130="yes"), 0), 0))) * 1440 / COUNTIF(N$2:N130, "yes"), ""))</f>
        <v/>
      </c>
    </row>
    <row r="131" spans="18:21" x14ac:dyDescent="0.25">
      <c r="R131" s="2" t="str">
        <f t="shared" si="3"/>
        <v/>
      </c>
      <c r="S131" s="2" t="str" cm="1">
        <f t="array" aca="1" ref="S131" ca="1">IF(T131&lt;&gt;"", IFERROR((T131 - MAX(_xlfn._xlws.FILTER(T$2:T130, N$2:N130 = "yes"))) * 24 * 60, ""), "")</f>
        <v/>
      </c>
      <c r="T131" s="2" t="str">
        <f t="shared" ca="1" si="4"/>
        <v/>
      </c>
      <c r="U131" s="2" t="str" cm="1">
        <f t="array" ref="U131">IF(N131&lt;&gt;"yes", "", IFERROR((T131 - INDEX(T$2:T131, MATCH(TRUE, INDEX((T$2:T131&lt;&gt;"")*(N$2:N131="yes"), 0), 0))) * 1440 / COUNTIF(N$2:N131, "yes"), ""))</f>
        <v/>
      </c>
    </row>
    <row r="132" spans="18:21" x14ac:dyDescent="0.25">
      <c r="R132" s="2" t="str">
        <f t="shared" ref="R132:R195" si="5">IF(AND(ISNUMBER(P132), ISNUMBER(Q132)), (Q132 - P132) * 24 * 60, "")</f>
        <v/>
      </c>
      <c r="S132" s="2" t="str" cm="1">
        <f t="array" aca="1" ref="S132" ca="1">IF(T132&lt;&gt;"", IFERROR((T132 - MAX(_xlfn._xlws.FILTER(T$2:T131, N$2:N131 = "yes"))) * 24 * 60, ""), "")</f>
        <v/>
      </c>
      <c r="T132" s="2" t="str">
        <f t="shared" ca="1" si="4"/>
        <v/>
      </c>
      <c r="U132" s="2" t="str" cm="1">
        <f t="array" ref="U132">IF(N132&lt;&gt;"yes", "", IFERROR((T132 - INDEX(T$2:T132, MATCH(TRUE, INDEX((T$2:T132&lt;&gt;"")*(N$2:N132="yes"), 0), 0))) * 1440 / COUNTIF(N$2:N132, "yes"), ""))</f>
        <v/>
      </c>
    </row>
    <row r="133" spans="18:21" x14ac:dyDescent="0.25">
      <c r="R133" s="2" t="str">
        <f t="shared" si="5"/>
        <v/>
      </c>
      <c r="S133" s="2" t="str" cm="1">
        <f t="array" aca="1" ref="S133" ca="1">IF(T133&lt;&gt;"", IFERROR((T133 - MAX(_xlfn._xlws.FILTER(T$2:T132, N$2:N132 = "yes"))) * 24 * 60, ""), "")</f>
        <v/>
      </c>
      <c r="T133" s="2" t="str">
        <f t="shared" ca="1" si="4"/>
        <v/>
      </c>
      <c r="U133" s="2" t="str" cm="1">
        <f t="array" ref="U133">IF(N133&lt;&gt;"yes", "", IFERROR((T133 - INDEX(T$2:T133, MATCH(TRUE, INDEX((T$2:T133&lt;&gt;"")*(N$2:N133="yes"), 0), 0))) * 1440 / COUNTIF(N$2:N133, "yes"), ""))</f>
        <v/>
      </c>
    </row>
    <row r="134" spans="18:21" x14ac:dyDescent="0.25">
      <c r="R134" s="2" t="str">
        <f t="shared" si="5"/>
        <v/>
      </c>
      <c r="S134" s="2" t="str" cm="1">
        <f t="array" aca="1" ref="S134" ca="1">IF(T134&lt;&gt;"", IFERROR((T134 - MAX(_xlfn._xlws.FILTER(T$2:T133, N$2:N133 = "yes"))) * 24 * 60, ""), "")</f>
        <v/>
      </c>
      <c r="T134" s="2" t="str">
        <f t="shared" ca="1" si="4"/>
        <v/>
      </c>
      <c r="U134" s="2" t="str" cm="1">
        <f t="array" ref="U134">IF(N134&lt;&gt;"yes", "", IFERROR((T134 - INDEX(T$2:T134, MATCH(TRUE, INDEX((T$2:T134&lt;&gt;"")*(N$2:N134="yes"), 0), 0))) * 1440 / COUNTIF(N$2:N134, "yes"), ""))</f>
        <v/>
      </c>
    </row>
    <row r="135" spans="18:21" x14ac:dyDescent="0.25">
      <c r="R135" s="2" t="str">
        <f t="shared" si="5"/>
        <v/>
      </c>
      <c r="S135" s="2" t="str" cm="1">
        <f t="array" aca="1" ref="S135" ca="1">IF(T135&lt;&gt;"", IFERROR((T135 - MAX(_xlfn._xlws.FILTER(T$2:T134, N$2:N134 = "yes"))) * 24 * 60, ""), "")</f>
        <v/>
      </c>
      <c r="T135" s="2" t="str">
        <f t="shared" ca="1" si="4"/>
        <v/>
      </c>
      <c r="U135" s="2" t="str" cm="1">
        <f t="array" ref="U135">IF(N135&lt;&gt;"yes", "", IFERROR((T135 - INDEX(T$2:T135, MATCH(TRUE, INDEX((T$2:T135&lt;&gt;"")*(N$2:N135="yes"), 0), 0))) * 1440 / COUNTIF(N$2:N135, "yes"), ""))</f>
        <v/>
      </c>
    </row>
    <row r="136" spans="18:21" x14ac:dyDescent="0.25">
      <c r="R136" s="2" t="str">
        <f t="shared" si="5"/>
        <v/>
      </c>
      <c r="S136" s="2" t="str" cm="1">
        <f t="array" aca="1" ref="S136" ca="1">IF(T136&lt;&gt;"", IFERROR((T136 - MAX(_xlfn._xlws.FILTER(T$2:T135, N$2:N135 = "yes"))) * 24 * 60, ""), "")</f>
        <v/>
      </c>
      <c r="T136" s="2" t="str">
        <f t="shared" ca="1" si="4"/>
        <v/>
      </c>
      <c r="U136" s="2" t="str" cm="1">
        <f t="array" ref="U136">IF(N136&lt;&gt;"yes", "", IFERROR((T136 - INDEX(T$2:T136, MATCH(TRUE, INDEX((T$2:T136&lt;&gt;"")*(N$2:N136="yes"), 0), 0))) * 1440 / COUNTIF(N$2:N136, "yes"), ""))</f>
        <v/>
      </c>
    </row>
    <row r="137" spans="18:21" x14ac:dyDescent="0.25">
      <c r="R137" s="2" t="str">
        <f t="shared" si="5"/>
        <v/>
      </c>
      <c r="S137" s="2" t="str" cm="1">
        <f t="array" aca="1" ref="S137" ca="1">IF(T137&lt;&gt;"", IFERROR((T137 - MAX(_xlfn._xlws.FILTER(T$2:T136, N$2:N136 = "yes"))) * 24 * 60, ""), "")</f>
        <v/>
      </c>
      <c r="T137" s="2" t="str">
        <f t="shared" ca="1" si="4"/>
        <v/>
      </c>
      <c r="U137" s="2" t="str" cm="1">
        <f t="array" ref="U137">IF(N137&lt;&gt;"yes", "", IFERROR((T137 - INDEX(T$2:T137, MATCH(TRUE, INDEX((T$2:T137&lt;&gt;"")*(N$2:N137="yes"), 0), 0))) * 1440 / COUNTIF(N$2:N137, "yes"), ""))</f>
        <v/>
      </c>
    </row>
    <row r="138" spans="18:21" x14ac:dyDescent="0.25">
      <c r="R138" s="2" t="str">
        <f t="shared" si="5"/>
        <v/>
      </c>
      <c r="S138" s="2" t="str" cm="1">
        <f t="array" aca="1" ref="S138" ca="1">IF(T138&lt;&gt;"", IFERROR((T138 - MAX(_xlfn._xlws.FILTER(T$2:T137, N$2:N137 = "yes"))) * 24 * 60, ""), "")</f>
        <v/>
      </c>
      <c r="T138" s="2" t="str">
        <f t="shared" ca="1" si="4"/>
        <v/>
      </c>
      <c r="U138" s="2" t="str" cm="1">
        <f t="array" ref="U138">IF(N138&lt;&gt;"yes", "", IFERROR((T138 - INDEX(T$2:T138, MATCH(TRUE, INDEX((T$2:T138&lt;&gt;"")*(N$2:N138="yes"), 0), 0))) * 1440 / COUNTIF(N$2:N138, "yes"), ""))</f>
        <v/>
      </c>
    </row>
    <row r="139" spans="18:21" x14ac:dyDescent="0.25">
      <c r="R139" s="2" t="str">
        <f t="shared" si="5"/>
        <v/>
      </c>
      <c r="S139" s="2" t="str" cm="1">
        <f t="array" aca="1" ref="S139" ca="1">IF(T139&lt;&gt;"", IFERROR((T139 - MAX(_xlfn._xlws.FILTER(T$2:T138, N$2:N138 = "yes"))) * 24 * 60, ""), "")</f>
        <v/>
      </c>
      <c r="T139" s="2" t="str">
        <f t="shared" ca="1" si="4"/>
        <v/>
      </c>
      <c r="U139" s="2" t="str" cm="1">
        <f t="array" ref="U139">IF(N139&lt;&gt;"yes", "", IFERROR((T139 - INDEX(T$2:T139, MATCH(TRUE, INDEX((T$2:T139&lt;&gt;"")*(N$2:N139="yes"), 0), 0))) * 1440 / COUNTIF(N$2:N139, "yes"), ""))</f>
        <v/>
      </c>
    </row>
    <row r="140" spans="18:21" x14ac:dyDescent="0.25">
      <c r="R140" s="2" t="str">
        <f t="shared" si="5"/>
        <v/>
      </c>
      <c r="S140" s="2" t="str" cm="1">
        <f t="array" aca="1" ref="S140" ca="1">IF(T140&lt;&gt;"", IFERROR((T140 - MAX(_xlfn._xlws.FILTER(T$2:T139, N$2:N139 = "yes"))) * 24 * 60, ""), "")</f>
        <v/>
      </c>
      <c r="T140" s="2" t="str">
        <f t="shared" ca="1" si="4"/>
        <v/>
      </c>
      <c r="U140" s="2" t="str" cm="1">
        <f t="array" ref="U140">IF(N140&lt;&gt;"yes", "", IFERROR((T140 - INDEX(T$2:T140, MATCH(TRUE, INDEX((T$2:T140&lt;&gt;"")*(N$2:N140="yes"), 0), 0))) * 1440 / COUNTIF(N$2:N140, "yes"), ""))</f>
        <v/>
      </c>
    </row>
    <row r="141" spans="18:21" x14ac:dyDescent="0.25">
      <c r="R141" s="2" t="str">
        <f t="shared" si="5"/>
        <v/>
      </c>
      <c r="S141" s="2" t="str" cm="1">
        <f t="array" aca="1" ref="S141" ca="1">IF(T141&lt;&gt;"", IFERROR((T141 - MAX(_xlfn._xlws.FILTER(T$2:T140, N$2:N140 = "yes"))) * 24 * 60, ""), "")</f>
        <v/>
      </c>
      <c r="T141" s="2" t="str">
        <f t="shared" ca="1" si="4"/>
        <v/>
      </c>
      <c r="U141" s="2" t="str" cm="1">
        <f t="array" ref="U141">IF(N141&lt;&gt;"yes", "", IFERROR((T141 - INDEX(T$2:T141, MATCH(TRUE, INDEX((T$2:T141&lt;&gt;"")*(N$2:N141="yes"), 0), 0))) * 1440 / COUNTIF(N$2:N141, "yes"), ""))</f>
        <v/>
      </c>
    </row>
    <row r="142" spans="18:21" x14ac:dyDescent="0.25">
      <c r="R142" s="2" t="str">
        <f t="shared" si="5"/>
        <v/>
      </c>
      <c r="S142" s="2" t="str" cm="1">
        <f t="array" aca="1" ref="S142" ca="1">IF(T142&lt;&gt;"", IFERROR((T142 - MAX(_xlfn._xlws.FILTER(T$2:T141, N$2:N141 = "yes"))) * 24 * 60, ""), "")</f>
        <v/>
      </c>
      <c r="T142" s="2" t="str">
        <f t="shared" ca="1" si="4"/>
        <v/>
      </c>
      <c r="U142" s="2" t="str" cm="1">
        <f t="array" ref="U142">IF(N142&lt;&gt;"yes", "", IFERROR((T142 - INDEX(T$2:T142, MATCH(TRUE, INDEX((T$2:T142&lt;&gt;"")*(N$2:N142="yes"), 0), 0))) * 1440 / COUNTIF(N$2:N142, "yes"), ""))</f>
        <v/>
      </c>
    </row>
    <row r="143" spans="18:21" x14ac:dyDescent="0.25">
      <c r="R143" s="2" t="str">
        <f t="shared" si="5"/>
        <v/>
      </c>
      <c r="S143" s="2" t="str" cm="1">
        <f t="array" aca="1" ref="S143" ca="1">IF(T143&lt;&gt;"", IFERROR((T143 - MAX(_xlfn._xlws.FILTER(T$2:T142, N$2:N142 = "yes"))) * 24 * 60, ""), "")</f>
        <v/>
      </c>
      <c r="T143" s="2" t="str">
        <f t="shared" ca="1" si="4"/>
        <v/>
      </c>
      <c r="U143" s="2" t="str" cm="1">
        <f t="array" ref="U143">IF(N143&lt;&gt;"yes", "", IFERROR((T143 - INDEX(T$2:T143, MATCH(TRUE, INDEX((T$2:T143&lt;&gt;"")*(N$2:N143="yes"), 0), 0))) * 1440 / COUNTIF(N$2:N143, "yes"), ""))</f>
        <v/>
      </c>
    </row>
    <row r="144" spans="18:21" x14ac:dyDescent="0.25">
      <c r="R144" s="2" t="str">
        <f t="shared" si="5"/>
        <v/>
      </c>
      <c r="S144" s="2" t="str" cm="1">
        <f t="array" aca="1" ref="S144" ca="1">IF(T144&lt;&gt;"", IFERROR((T144 - MAX(_xlfn._xlws.FILTER(T$2:T143, N$2:N143 = "yes"))) * 24 * 60, ""), "")</f>
        <v/>
      </c>
      <c r="T144" s="2" t="str">
        <f t="shared" ca="1" si="4"/>
        <v/>
      </c>
      <c r="U144" s="2" t="str" cm="1">
        <f t="array" ref="U144">IF(N144&lt;&gt;"yes", "", IFERROR((T144 - INDEX(T$2:T144, MATCH(TRUE, INDEX((T$2:T144&lt;&gt;"")*(N$2:N144="yes"), 0), 0))) * 1440 / COUNTIF(N$2:N144, "yes"), ""))</f>
        <v/>
      </c>
    </row>
    <row r="145" spans="18:21" x14ac:dyDescent="0.25">
      <c r="R145" s="2" t="str">
        <f t="shared" si="5"/>
        <v/>
      </c>
      <c r="S145" s="2" t="str" cm="1">
        <f t="array" aca="1" ref="S145" ca="1">IF(T145&lt;&gt;"", IFERROR((T145 - MAX(_xlfn._xlws.FILTER(T$2:T144, N$2:N144 = "yes"))) * 24 * 60, ""), "")</f>
        <v/>
      </c>
      <c r="T145" s="2" t="str">
        <f t="shared" ca="1" si="4"/>
        <v/>
      </c>
      <c r="U145" s="2" t="str" cm="1">
        <f t="array" ref="U145">IF(N145&lt;&gt;"yes", "", IFERROR((T145 - INDEX(T$2:T145, MATCH(TRUE, INDEX((T$2:T145&lt;&gt;"")*(N$2:N145="yes"), 0), 0))) * 1440 / COUNTIF(N$2:N145, "yes"), ""))</f>
        <v/>
      </c>
    </row>
    <row r="146" spans="18:21" x14ac:dyDescent="0.25">
      <c r="R146" s="2" t="str">
        <f t="shared" si="5"/>
        <v/>
      </c>
      <c r="S146" s="2" t="str" cm="1">
        <f t="array" aca="1" ref="S146" ca="1">IF(T146&lt;&gt;"", IFERROR((T146 - MAX(_xlfn._xlws.FILTER(T$2:T145, N$2:N145 = "yes"))) * 24 * 60, ""), "")</f>
        <v/>
      </c>
      <c r="T146" s="2" t="str">
        <f t="shared" ca="1" si="4"/>
        <v/>
      </c>
      <c r="U146" s="2" t="str" cm="1">
        <f t="array" ref="U146">IF(N146&lt;&gt;"yes", "", IFERROR((T146 - INDEX(T$2:T146, MATCH(TRUE, INDEX((T$2:T146&lt;&gt;"")*(N$2:N146="yes"), 0), 0))) * 1440 / COUNTIF(N$2:N146, "yes"), ""))</f>
        <v/>
      </c>
    </row>
    <row r="147" spans="18:21" x14ac:dyDescent="0.25">
      <c r="R147" s="2" t="str">
        <f t="shared" si="5"/>
        <v/>
      </c>
      <c r="S147" s="2" t="str" cm="1">
        <f t="array" aca="1" ref="S147" ca="1">IF(T147&lt;&gt;"", IFERROR((T147 - MAX(_xlfn._xlws.FILTER(T$2:T146, N$2:N146 = "yes"))) * 24 * 60, ""), "")</f>
        <v/>
      </c>
      <c r="T147" s="2" t="str">
        <f t="shared" ca="1" si="4"/>
        <v/>
      </c>
      <c r="U147" s="2" t="str" cm="1">
        <f t="array" ref="U147">IF(N147&lt;&gt;"yes", "", IFERROR((T147 - INDEX(T$2:T147, MATCH(TRUE, INDEX((T$2:T147&lt;&gt;"")*(N$2:N147="yes"), 0), 0))) * 1440 / COUNTIF(N$2:N147, "yes"), ""))</f>
        <v/>
      </c>
    </row>
    <row r="148" spans="18:21" x14ac:dyDescent="0.25">
      <c r="R148" s="2" t="str">
        <f t="shared" si="5"/>
        <v/>
      </c>
      <c r="S148" s="2" t="str" cm="1">
        <f t="array" aca="1" ref="S148" ca="1">IF(T148&lt;&gt;"", IFERROR((T148 - MAX(_xlfn._xlws.FILTER(T$2:T147, N$2:N147 = "yes"))) * 24 * 60, ""), "")</f>
        <v/>
      </c>
      <c r="T148" s="2" t="str">
        <f t="shared" ca="1" si="4"/>
        <v/>
      </c>
      <c r="U148" s="2" t="str" cm="1">
        <f t="array" ref="U148">IF(N148&lt;&gt;"yes", "", IFERROR((T148 - INDEX(T$2:T148, MATCH(TRUE, INDEX((T$2:T148&lt;&gt;"")*(N$2:N148="yes"), 0), 0))) * 1440 / COUNTIF(N$2:N148, "yes"), ""))</f>
        <v/>
      </c>
    </row>
    <row r="149" spans="18:21" x14ac:dyDescent="0.25">
      <c r="R149" s="2" t="str">
        <f t="shared" si="5"/>
        <v/>
      </c>
      <c r="S149" s="2" t="str" cm="1">
        <f t="array" aca="1" ref="S149" ca="1">IF(T149&lt;&gt;"", IFERROR((T149 - MAX(_xlfn._xlws.FILTER(T$2:T148, N$2:N148 = "yes"))) * 24 * 60, ""), "")</f>
        <v/>
      </c>
      <c r="T149" s="2" t="str">
        <f t="shared" ca="1" si="4"/>
        <v/>
      </c>
      <c r="U149" s="2" t="str" cm="1">
        <f t="array" ref="U149">IF(N149&lt;&gt;"yes", "", IFERROR((T149 - INDEX(T$2:T149, MATCH(TRUE, INDEX((T$2:T149&lt;&gt;"")*(N$2:N149="yes"), 0), 0))) * 1440 / COUNTIF(N$2:N149, "yes"), ""))</f>
        <v/>
      </c>
    </row>
    <row r="150" spans="18:21" x14ac:dyDescent="0.25">
      <c r="R150" s="2" t="str">
        <f t="shared" si="5"/>
        <v/>
      </c>
      <c r="S150" s="2" t="str" cm="1">
        <f t="array" aca="1" ref="S150" ca="1">IF(T150&lt;&gt;"", IFERROR((T150 - MAX(_xlfn._xlws.FILTER(T$2:T149, N$2:N149 = "yes"))) * 24 * 60, ""), "")</f>
        <v/>
      </c>
      <c r="T150" s="2" t="str">
        <f t="shared" ca="1" si="4"/>
        <v/>
      </c>
      <c r="U150" s="2" t="str" cm="1">
        <f t="array" ref="U150">IF(N150&lt;&gt;"yes", "", IFERROR((T150 - INDEX(T$2:T150, MATCH(TRUE, INDEX((T$2:T150&lt;&gt;"")*(N$2:N150="yes"), 0), 0))) * 1440 / COUNTIF(N$2:N150, "yes"), ""))</f>
        <v/>
      </c>
    </row>
    <row r="151" spans="18:21" x14ac:dyDescent="0.25">
      <c r="R151" s="2" t="str">
        <f t="shared" si="5"/>
        <v/>
      </c>
      <c r="S151" s="2" t="str" cm="1">
        <f t="array" aca="1" ref="S151" ca="1">IF(T151&lt;&gt;"", IFERROR((T151 - MAX(_xlfn._xlws.FILTER(T$2:T150, N$2:N150 = "yes"))) * 24 * 60, ""), "")</f>
        <v/>
      </c>
      <c r="T151" s="2" t="str">
        <f t="shared" ca="1" si="4"/>
        <v/>
      </c>
      <c r="U151" s="2" t="str" cm="1">
        <f t="array" ref="U151">IF(N151&lt;&gt;"yes", "", IFERROR((T151 - INDEX(T$2:T151, MATCH(TRUE, INDEX((T$2:T151&lt;&gt;"")*(N$2:N151="yes"), 0), 0))) * 1440 / COUNTIF(N$2:N151, "yes"), ""))</f>
        <v/>
      </c>
    </row>
    <row r="152" spans="18:21" x14ac:dyDescent="0.25">
      <c r="R152" s="2" t="str">
        <f t="shared" si="5"/>
        <v/>
      </c>
      <c r="S152" s="2" t="str" cm="1">
        <f t="array" aca="1" ref="S152" ca="1">IF(T152&lt;&gt;"", IFERROR((T152 - MAX(_xlfn._xlws.FILTER(T$2:T151, N$2:N151 = "yes"))) * 24 * 60, ""), "")</f>
        <v/>
      </c>
      <c r="T152" s="2" t="str">
        <f t="shared" ca="1" si="4"/>
        <v/>
      </c>
      <c r="U152" s="2" t="str" cm="1">
        <f t="array" ref="U152">IF(N152&lt;&gt;"yes", "", IFERROR((T152 - INDEX(T$2:T152, MATCH(TRUE, INDEX((T$2:T152&lt;&gt;"")*(N$2:N152="yes"), 0), 0))) * 1440 / COUNTIF(N$2:N152, "yes"), ""))</f>
        <v/>
      </c>
    </row>
    <row r="153" spans="18:21" x14ac:dyDescent="0.25">
      <c r="R153" s="2" t="str">
        <f t="shared" si="5"/>
        <v/>
      </c>
      <c r="S153" s="2" t="str" cm="1">
        <f t="array" aca="1" ref="S153" ca="1">IF(T153&lt;&gt;"", IFERROR((T153 - MAX(_xlfn._xlws.FILTER(T$2:T152, N$2:N152 = "yes"))) * 24 * 60, ""), "")</f>
        <v/>
      </c>
      <c r="T153" s="2" t="str">
        <f t="shared" ca="1" si="4"/>
        <v/>
      </c>
      <c r="U153" s="2" t="str" cm="1">
        <f t="array" ref="U153">IF(N153&lt;&gt;"yes", "", IFERROR((T153 - INDEX(T$2:T153, MATCH(TRUE, INDEX((T$2:T153&lt;&gt;"")*(N$2:N153="yes"), 0), 0))) * 1440 / COUNTIF(N$2:N153, "yes"), ""))</f>
        <v/>
      </c>
    </row>
    <row r="154" spans="18:21" x14ac:dyDescent="0.25">
      <c r="R154" s="2" t="str">
        <f t="shared" si="5"/>
        <v/>
      </c>
      <c r="S154" s="2" t="str" cm="1">
        <f t="array" aca="1" ref="S154" ca="1">IF(T154&lt;&gt;"", IFERROR((T154 - MAX(_xlfn._xlws.FILTER(T$2:T153, N$2:N153 = "yes"))) * 24 * 60, ""), "")</f>
        <v/>
      </c>
      <c r="T154" s="2" t="str">
        <f t="shared" ca="1" si="4"/>
        <v/>
      </c>
      <c r="U154" s="2" t="str" cm="1">
        <f t="array" ref="U154">IF(N154&lt;&gt;"yes", "", IFERROR((T154 - INDEX(T$2:T154, MATCH(TRUE, INDEX((T$2:T154&lt;&gt;"")*(N$2:N154="yes"), 0), 0))) * 1440 / COUNTIF(N$2:N154, "yes"), ""))</f>
        <v/>
      </c>
    </row>
    <row r="155" spans="18:21" x14ac:dyDescent="0.25">
      <c r="R155" s="2" t="str">
        <f t="shared" si="5"/>
        <v/>
      </c>
      <c r="S155" s="2" t="str" cm="1">
        <f t="array" aca="1" ref="S155" ca="1">IF(T155&lt;&gt;"", IFERROR((T155 - MAX(_xlfn._xlws.FILTER(T$2:T154, N$2:N154 = "yes"))) * 24 * 60, ""), "")</f>
        <v/>
      </c>
      <c r="T155" s="2" t="str">
        <f t="shared" ca="1" si="4"/>
        <v/>
      </c>
      <c r="U155" s="2" t="str" cm="1">
        <f t="array" ref="U155">IF(N155&lt;&gt;"yes", "", IFERROR((T155 - INDEX(T$2:T155, MATCH(TRUE, INDEX((T$2:T155&lt;&gt;"")*(N$2:N155="yes"), 0), 0))) * 1440 / COUNTIF(N$2:N155, "yes"), ""))</f>
        <v/>
      </c>
    </row>
    <row r="156" spans="18:21" x14ac:dyDescent="0.25">
      <c r="R156" s="2" t="str">
        <f t="shared" si="5"/>
        <v/>
      </c>
      <c r="S156" s="2" t="str" cm="1">
        <f t="array" aca="1" ref="S156" ca="1">IF(T156&lt;&gt;"", IFERROR((T156 - MAX(_xlfn._xlws.FILTER(T$2:T155, N$2:N155 = "yes"))) * 24 * 60, ""), "")</f>
        <v/>
      </c>
      <c r="T156" s="2" t="str">
        <f t="shared" ca="1" si="4"/>
        <v/>
      </c>
      <c r="U156" s="2" t="str" cm="1">
        <f t="array" ref="U156">IF(N156&lt;&gt;"yes", "", IFERROR((T156 - INDEX(T$2:T156, MATCH(TRUE, INDEX((T$2:T156&lt;&gt;"")*(N$2:N156="yes"), 0), 0))) * 1440 / COUNTIF(N$2:N156, "yes"), ""))</f>
        <v/>
      </c>
    </row>
    <row r="157" spans="18:21" x14ac:dyDescent="0.25">
      <c r="R157" s="2" t="str">
        <f t="shared" si="5"/>
        <v/>
      </c>
      <c r="S157" s="2" t="str" cm="1">
        <f t="array" aca="1" ref="S157" ca="1">IF(T157&lt;&gt;"", IFERROR((T157 - MAX(_xlfn._xlws.FILTER(T$2:T156, N$2:N156 = "yes"))) * 24 * 60, ""), "")</f>
        <v/>
      </c>
      <c r="T157" s="2" t="str">
        <f t="shared" ca="1" si="4"/>
        <v/>
      </c>
      <c r="U157" s="2" t="str" cm="1">
        <f t="array" ref="U157">IF(N157&lt;&gt;"yes", "", IFERROR((T157 - INDEX(T$2:T157, MATCH(TRUE, INDEX((T$2:T157&lt;&gt;"")*(N$2:N157="yes"), 0), 0))) * 1440 / COUNTIF(N$2:N157, "yes"), ""))</f>
        <v/>
      </c>
    </row>
    <row r="158" spans="18:21" x14ac:dyDescent="0.25">
      <c r="R158" s="2" t="str">
        <f t="shared" si="5"/>
        <v/>
      </c>
      <c r="S158" s="2" t="str" cm="1">
        <f t="array" aca="1" ref="S158" ca="1">IF(T158&lt;&gt;"", IFERROR((T158 - MAX(_xlfn._xlws.FILTER(T$2:T157, N$2:N157 = "yes"))) * 24 * 60, ""), "")</f>
        <v/>
      </c>
      <c r="T158" s="2" t="str">
        <f t="shared" ca="1" si="4"/>
        <v/>
      </c>
      <c r="U158" s="2" t="str" cm="1">
        <f t="array" ref="U158">IF(N158&lt;&gt;"yes", "", IFERROR((T158 - INDEX(T$2:T158, MATCH(TRUE, INDEX((T$2:T158&lt;&gt;"")*(N$2:N158="yes"), 0), 0))) * 1440 / COUNTIF(N$2:N158, "yes"), ""))</f>
        <v/>
      </c>
    </row>
    <row r="159" spans="18:21" x14ac:dyDescent="0.25">
      <c r="R159" s="2" t="str">
        <f t="shared" si="5"/>
        <v/>
      </c>
      <c r="S159" s="2" t="str" cm="1">
        <f t="array" aca="1" ref="S159" ca="1">IF(T159&lt;&gt;"", IFERROR((T159 - MAX(_xlfn._xlws.FILTER(T$2:T158, N$2:N158 = "yes"))) * 24 * 60, ""), "")</f>
        <v/>
      </c>
      <c r="T159" s="2" t="str">
        <f t="shared" ca="1" si="4"/>
        <v/>
      </c>
      <c r="U159" s="2" t="str" cm="1">
        <f t="array" ref="U159">IF(N159&lt;&gt;"yes", "", IFERROR((T159 - INDEX(T$2:T159, MATCH(TRUE, INDEX((T$2:T159&lt;&gt;"")*(N$2:N159="yes"), 0), 0))) * 1440 / COUNTIF(N$2:N159, "yes"), ""))</f>
        <v/>
      </c>
    </row>
    <row r="160" spans="18:21" x14ac:dyDescent="0.25">
      <c r="R160" s="2" t="str">
        <f t="shared" si="5"/>
        <v/>
      </c>
      <c r="S160" s="2" t="str" cm="1">
        <f t="array" aca="1" ref="S160" ca="1">IF(T160&lt;&gt;"", IFERROR((T160 - MAX(_xlfn._xlws.FILTER(T$2:T159, N$2:N159 = "yes"))) * 24 * 60, ""), "")</f>
        <v/>
      </c>
      <c r="T160" s="2" t="str">
        <f t="shared" ca="1" si="4"/>
        <v/>
      </c>
      <c r="U160" s="2" t="str" cm="1">
        <f t="array" ref="U160">IF(N160&lt;&gt;"yes", "", IFERROR((T160 - INDEX(T$2:T160, MATCH(TRUE, INDEX((T$2:T160&lt;&gt;"")*(N$2:N160="yes"), 0), 0))) * 1440 / COUNTIF(N$2:N160, "yes"), ""))</f>
        <v/>
      </c>
    </row>
    <row r="161" spans="18:21" x14ac:dyDescent="0.25">
      <c r="R161" s="2" t="str">
        <f t="shared" si="5"/>
        <v/>
      </c>
      <c r="S161" s="2" t="str" cm="1">
        <f t="array" aca="1" ref="S161" ca="1">IF(T161&lt;&gt;"", IFERROR((T161 - MAX(_xlfn._xlws.FILTER(T$2:T160, N$2:N160 = "yes"))) * 24 * 60, ""), "")</f>
        <v/>
      </c>
      <c r="T161" s="2" t="str">
        <f t="shared" ca="1" si="4"/>
        <v/>
      </c>
      <c r="U161" s="2" t="str" cm="1">
        <f t="array" ref="U161">IF(N161&lt;&gt;"yes", "", IFERROR((T161 - INDEX(T$2:T161, MATCH(TRUE, INDEX((T$2:T161&lt;&gt;"")*(N$2:N161="yes"), 0), 0))) * 1440 / COUNTIF(N$2:N161, "yes"), ""))</f>
        <v/>
      </c>
    </row>
    <row r="162" spans="18:21" x14ac:dyDescent="0.25">
      <c r="R162" s="2" t="str">
        <f t="shared" si="5"/>
        <v/>
      </c>
      <c r="S162" s="2" t="str" cm="1">
        <f t="array" aca="1" ref="S162" ca="1">IF(T162&lt;&gt;"", IFERROR((T162 - MAX(_xlfn._xlws.FILTER(T$2:T161, N$2:N161 = "yes"))) * 24 * 60, ""), "")</f>
        <v/>
      </c>
      <c r="T162" s="2" t="str">
        <f t="shared" ca="1" si="4"/>
        <v/>
      </c>
      <c r="U162" s="2" t="str" cm="1">
        <f t="array" ref="U162">IF(N162&lt;&gt;"yes", "", IFERROR((T162 - INDEX(T$2:T162, MATCH(TRUE, INDEX((T$2:T162&lt;&gt;"")*(N$2:N162="yes"), 0), 0))) * 1440 / COUNTIF(N$2:N162, "yes"), ""))</f>
        <v/>
      </c>
    </row>
    <row r="163" spans="18:21" x14ac:dyDescent="0.25">
      <c r="R163" s="2" t="str">
        <f t="shared" si="5"/>
        <v/>
      </c>
      <c r="S163" s="2" t="str" cm="1">
        <f t="array" aca="1" ref="S163" ca="1">IF(T163&lt;&gt;"", IFERROR((T163 - MAX(_xlfn._xlws.FILTER(T$2:T162, N$2:N162 = "yes"))) * 24 * 60, ""), "")</f>
        <v/>
      </c>
      <c r="T163" s="2" t="str">
        <f t="shared" ca="1" si="4"/>
        <v/>
      </c>
      <c r="U163" s="2" t="str" cm="1">
        <f t="array" ref="U163">IF(N163&lt;&gt;"yes", "", IFERROR((T163 - INDEX(T$2:T163, MATCH(TRUE, INDEX((T$2:T163&lt;&gt;"")*(N$2:N163="yes"), 0), 0))) * 1440 / COUNTIF(N$2:N163, "yes"), ""))</f>
        <v/>
      </c>
    </row>
    <row r="164" spans="18:21" x14ac:dyDescent="0.25">
      <c r="R164" s="2" t="str">
        <f t="shared" si="5"/>
        <v/>
      </c>
      <c r="S164" s="2" t="str" cm="1">
        <f t="array" aca="1" ref="S164" ca="1">IF(T164&lt;&gt;"", IFERROR((T164 - MAX(_xlfn._xlws.FILTER(T$2:T163, N$2:N163 = "yes"))) * 24 * 60, ""), "")</f>
        <v/>
      </c>
      <c r="T164" s="2" t="str">
        <f t="shared" ca="1" si="4"/>
        <v/>
      </c>
      <c r="U164" s="2" t="str" cm="1">
        <f t="array" ref="U164">IF(N164&lt;&gt;"yes", "", IFERROR((T164 - INDEX(T$2:T164, MATCH(TRUE, INDEX((T$2:T164&lt;&gt;"")*(N$2:N164="yes"), 0), 0))) * 1440 / COUNTIF(N$2:N164, "yes"), ""))</f>
        <v/>
      </c>
    </row>
    <row r="165" spans="18:21" x14ac:dyDescent="0.25">
      <c r="R165" s="2" t="str">
        <f t="shared" si="5"/>
        <v/>
      </c>
      <c r="S165" s="2" t="str" cm="1">
        <f t="array" aca="1" ref="S165" ca="1">IF(T165&lt;&gt;"", IFERROR((T165 - MAX(_xlfn._xlws.FILTER(T$2:T164, N$2:N164 = "yes"))) * 24 * 60, ""), "")</f>
        <v/>
      </c>
      <c r="T165" s="2" t="str">
        <f t="shared" ca="1" si="4"/>
        <v/>
      </c>
      <c r="U165" s="2" t="str" cm="1">
        <f t="array" ref="U165">IF(N165&lt;&gt;"yes", "", IFERROR((T165 - INDEX(T$2:T165, MATCH(TRUE, INDEX((T$2:T165&lt;&gt;"")*(N$2:N165="yes"), 0), 0))) * 1440 / COUNTIF(N$2:N165, "yes"), ""))</f>
        <v/>
      </c>
    </row>
    <row r="166" spans="18:21" x14ac:dyDescent="0.25">
      <c r="R166" s="2" t="str">
        <f t="shared" si="5"/>
        <v/>
      </c>
      <c r="S166" s="2" t="str" cm="1">
        <f t="array" aca="1" ref="S166" ca="1">IF(T166&lt;&gt;"", IFERROR((T166 - MAX(_xlfn._xlws.FILTER(T$2:T165, N$2:N165 = "yes"))) * 24 * 60, ""), "")</f>
        <v/>
      </c>
      <c r="T166" s="2" t="str">
        <f t="shared" ca="1" si="4"/>
        <v/>
      </c>
      <c r="U166" s="2" t="str" cm="1">
        <f t="array" ref="U166">IF(N166&lt;&gt;"yes", "", IFERROR((T166 - INDEX(T$2:T166, MATCH(TRUE, INDEX((T$2:T166&lt;&gt;"")*(N$2:N166="yes"), 0), 0))) * 1440 / COUNTIF(N$2:N166, "yes"), ""))</f>
        <v/>
      </c>
    </row>
    <row r="167" spans="18:21" x14ac:dyDescent="0.25">
      <c r="R167" s="2" t="str">
        <f t="shared" si="5"/>
        <v/>
      </c>
      <c r="S167" s="2" t="str" cm="1">
        <f t="array" aca="1" ref="S167" ca="1">IF(T167&lt;&gt;"", IFERROR((T167 - MAX(_xlfn._xlws.FILTER(T$2:T166, N$2:N166 = "yes"))) * 24 * 60, ""), "")</f>
        <v/>
      </c>
      <c r="T167" s="2" t="str">
        <f t="shared" ca="1" si="4"/>
        <v/>
      </c>
      <c r="U167" s="2" t="str" cm="1">
        <f t="array" ref="U167">IF(N167&lt;&gt;"yes", "", IFERROR((T167 - INDEX(T$2:T167, MATCH(TRUE, INDEX((T$2:T167&lt;&gt;"")*(N$2:N167="yes"), 0), 0))) * 1440 / COUNTIF(N$2:N167, "yes"), ""))</f>
        <v/>
      </c>
    </row>
    <row r="168" spans="18:21" x14ac:dyDescent="0.25">
      <c r="R168" s="2" t="str">
        <f t="shared" si="5"/>
        <v/>
      </c>
      <c r="S168" s="2" t="str" cm="1">
        <f t="array" aca="1" ref="S168" ca="1">IF(T168&lt;&gt;"", IFERROR((T168 - MAX(_xlfn._xlws.FILTER(T$2:T167, N$2:N167 = "yes"))) * 24 * 60, ""), "")</f>
        <v/>
      </c>
      <c r="T168" s="2" t="str">
        <f t="shared" ca="1" si="4"/>
        <v/>
      </c>
      <c r="U168" s="2" t="str" cm="1">
        <f t="array" ref="U168">IF(N168&lt;&gt;"yes", "", IFERROR((T168 - INDEX(T$2:T168, MATCH(TRUE, INDEX((T$2:T168&lt;&gt;"")*(N$2:N168="yes"), 0), 0))) * 1440 / COUNTIF(N$2:N168, "yes"), ""))</f>
        <v/>
      </c>
    </row>
    <row r="169" spans="18:21" x14ac:dyDescent="0.25">
      <c r="R169" s="2" t="str">
        <f t="shared" si="5"/>
        <v/>
      </c>
      <c r="S169" s="2" t="str" cm="1">
        <f t="array" aca="1" ref="S169" ca="1">IF(T169&lt;&gt;"", IFERROR((T169 - MAX(_xlfn._xlws.FILTER(T$2:T168, N$2:N168 = "yes"))) * 24 * 60, ""), "")</f>
        <v/>
      </c>
      <c r="T169" s="2" t="str">
        <f t="shared" ca="1" si="4"/>
        <v/>
      </c>
      <c r="U169" s="2" t="str" cm="1">
        <f t="array" ref="U169">IF(N169&lt;&gt;"yes", "", IFERROR((T169 - INDEX(T$2:T169, MATCH(TRUE, INDEX((T$2:T169&lt;&gt;"")*(N$2:N169="yes"), 0), 0))) * 1440 / COUNTIF(N$2:N169, "yes"), ""))</f>
        <v/>
      </c>
    </row>
    <row r="170" spans="18:21" x14ac:dyDescent="0.25">
      <c r="R170" s="2" t="str">
        <f t="shared" si="5"/>
        <v/>
      </c>
      <c r="S170" s="2" t="str" cm="1">
        <f t="array" aca="1" ref="S170" ca="1">IF(T170&lt;&gt;"", IFERROR((T170 - MAX(_xlfn._xlws.FILTER(T$2:T169, N$2:N169 = "yes"))) * 24 * 60, ""), "")</f>
        <v/>
      </c>
      <c r="T170" s="2" t="str">
        <f t="shared" ca="1" si="4"/>
        <v/>
      </c>
      <c r="U170" s="2" t="str" cm="1">
        <f t="array" ref="U170">IF(N170&lt;&gt;"yes", "", IFERROR((T170 - INDEX(T$2:T170, MATCH(TRUE, INDEX((T$2:T170&lt;&gt;"")*(N$2:N170="yes"), 0), 0))) * 1440 / COUNTIF(N$2:N170, "yes"), ""))</f>
        <v/>
      </c>
    </row>
    <row r="171" spans="18:21" x14ac:dyDescent="0.25">
      <c r="R171" s="2" t="str">
        <f t="shared" si="5"/>
        <v/>
      </c>
      <c r="S171" s="2" t="str" cm="1">
        <f t="array" aca="1" ref="S171" ca="1">IF(T171&lt;&gt;"", IFERROR((T171 - MAX(_xlfn._xlws.FILTER(T$2:T170, N$2:N170 = "yes"))) * 24 * 60, ""), "")</f>
        <v/>
      </c>
      <c r="T171" s="2" t="str">
        <f t="shared" ca="1" si="4"/>
        <v/>
      </c>
      <c r="U171" s="2" t="str" cm="1">
        <f t="array" ref="U171">IF(N171&lt;&gt;"yes", "", IFERROR((T171 - INDEX(T$2:T171, MATCH(TRUE, INDEX((T$2:T171&lt;&gt;"")*(N$2:N171="yes"), 0), 0))) * 1440 / COUNTIF(N$2:N171, "yes"), ""))</f>
        <v/>
      </c>
    </row>
    <row r="172" spans="18:21" x14ac:dyDescent="0.25">
      <c r="R172" s="2" t="str">
        <f t="shared" si="5"/>
        <v/>
      </c>
      <c r="S172" s="2" t="str" cm="1">
        <f t="array" aca="1" ref="S172" ca="1">IF(T172&lt;&gt;"", IFERROR((T172 - MAX(_xlfn._xlws.FILTER(T$2:T171, N$2:N171 = "yes"))) * 24 * 60, ""), "")</f>
        <v/>
      </c>
      <c r="T172" s="2" t="str">
        <f t="shared" ca="1" si="4"/>
        <v/>
      </c>
      <c r="U172" s="2" t="str" cm="1">
        <f t="array" ref="U172">IF(N172&lt;&gt;"yes", "", IFERROR((T172 - INDEX(T$2:T172, MATCH(TRUE, INDEX((T$2:T172&lt;&gt;"")*(N$2:N172="yes"), 0), 0))) * 1440 / COUNTIF(N$2:N172, "yes"), ""))</f>
        <v/>
      </c>
    </row>
    <row r="173" spans="18:21" x14ac:dyDescent="0.25">
      <c r="R173" s="2" t="str">
        <f t="shared" si="5"/>
        <v/>
      </c>
      <c r="S173" s="2" t="str" cm="1">
        <f t="array" aca="1" ref="S173" ca="1">IF(T173&lt;&gt;"", IFERROR((T173 - MAX(_xlfn._xlws.FILTER(T$2:T172, N$2:N172 = "yes"))) * 24 * 60, ""), "")</f>
        <v/>
      </c>
      <c r="T173" s="2" t="str">
        <f t="shared" ca="1" si="4"/>
        <v/>
      </c>
      <c r="U173" s="2" t="str" cm="1">
        <f t="array" ref="U173">IF(N173&lt;&gt;"yes", "", IFERROR((T173 - INDEX(T$2:T173, MATCH(TRUE, INDEX((T$2:T173&lt;&gt;"")*(N$2:N173="yes"), 0), 0))) * 1440 / COUNTIF(N$2:N173, "yes"), ""))</f>
        <v/>
      </c>
    </row>
    <row r="174" spans="18:21" x14ac:dyDescent="0.25">
      <c r="R174" s="2" t="str">
        <f t="shared" si="5"/>
        <v/>
      </c>
      <c r="S174" s="2" t="str" cm="1">
        <f t="array" aca="1" ref="S174" ca="1">IF(T174&lt;&gt;"", IFERROR((T174 - MAX(_xlfn._xlws.FILTER(T$2:T173, N$2:N173 = "yes"))) * 24 * 60, ""), "")</f>
        <v/>
      </c>
      <c r="T174" s="2" t="str">
        <f t="shared" ca="1" si="4"/>
        <v/>
      </c>
      <c r="U174" s="2" t="str" cm="1">
        <f t="array" ref="U174">IF(N174&lt;&gt;"yes", "", IFERROR((T174 - INDEX(T$2:T174, MATCH(TRUE, INDEX((T$2:T174&lt;&gt;"")*(N$2:N174="yes"), 0), 0))) * 1440 / COUNTIF(N$2:N174, "yes"), ""))</f>
        <v/>
      </c>
    </row>
    <row r="175" spans="18:21" x14ac:dyDescent="0.25">
      <c r="R175" s="2" t="str">
        <f t="shared" si="5"/>
        <v/>
      </c>
      <c r="S175" s="2" t="str" cm="1">
        <f t="array" aca="1" ref="S175" ca="1">IF(T175&lt;&gt;"", IFERROR((T175 - MAX(_xlfn._xlws.FILTER(T$2:T174, N$2:N174 = "yes"))) * 24 * 60, ""), "")</f>
        <v/>
      </c>
      <c r="T175" s="2" t="str">
        <f t="shared" ca="1" si="4"/>
        <v/>
      </c>
      <c r="U175" s="2" t="str" cm="1">
        <f t="array" ref="U175">IF(N175&lt;&gt;"yes", "", IFERROR((T175 - INDEX(T$2:T175, MATCH(TRUE, INDEX((T$2:T175&lt;&gt;"")*(N$2:N175="yes"), 0), 0))) * 1440 / COUNTIF(N$2:N175, "yes"), ""))</f>
        <v/>
      </c>
    </row>
    <row r="176" spans="18:21" x14ac:dyDescent="0.25">
      <c r="R176" s="2" t="str">
        <f t="shared" si="5"/>
        <v/>
      </c>
      <c r="S176" s="2" t="str" cm="1">
        <f t="array" aca="1" ref="S176" ca="1">IF(T176&lt;&gt;"", IFERROR((T176 - MAX(_xlfn._xlws.FILTER(T$2:T175, N$2:N175 = "yes"))) * 24 * 60, ""), "")</f>
        <v/>
      </c>
      <c r="T176" s="2" t="str">
        <f t="shared" ca="1" si="4"/>
        <v/>
      </c>
      <c r="U176" s="2" t="str" cm="1">
        <f t="array" ref="U176">IF(N176&lt;&gt;"yes", "", IFERROR((T176 - INDEX(T$2:T176, MATCH(TRUE, INDEX((T$2:T176&lt;&gt;"")*(N$2:N176="yes"), 0), 0))) * 1440 / COUNTIF(N$2:N176, "yes"), ""))</f>
        <v/>
      </c>
    </row>
    <row r="177" spans="18:21" x14ac:dyDescent="0.25">
      <c r="R177" s="2" t="str">
        <f t="shared" si="5"/>
        <v/>
      </c>
      <c r="S177" s="2" t="str" cm="1">
        <f t="array" aca="1" ref="S177" ca="1">IF(T177&lt;&gt;"", IFERROR((T177 - MAX(_xlfn._xlws.FILTER(T$2:T176, N$2:N176 = "yes"))) * 24 * 60, ""), "")</f>
        <v/>
      </c>
      <c r="T177" s="2" t="str">
        <f t="shared" ca="1" si="4"/>
        <v/>
      </c>
      <c r="U177" s="2" t="str" cm="1">
        <f t="array" ref="U177">IF(N177&lt;&gt;"yes", "", IFERROR((T177 - INDEX(T$2:T177, MATCH(TRUE, INDEX((T$2:T177&lt;&gt;"")*(N$2:N177="yes"), 0), 0))) * 1440 / COUNTIF(N$2:N177, "yes"), ""))</f>
        <v/>
      </c>
    </row>
    <row r="178" spans="18:21" x14ac:dyDescent="0.25">
      <c r="R178" s="2" t="str">
        <f t="shared" si="5"/>
        <v/>
      </c>
      <c r="S178" s="2" t="str" cm="1">
        <f t="array" aca="1" ref="S178" ca="1">IF(T178&lt;&gt;"", IFERROR((T178 - MAX(_xlfn._xlws.FILTER(T$2:T177, N$2:N177 = "yes"))) * 24 * 60, ""), "")</f>
        <v/>
      </c>
      <c r="T178" s="2" t="str">
        <f t="shared" ca="1" si="4"/>
        <v/>
      </c>
      <c r="U178" s="2" t="str" cm="1">
        <f t="array" ref="U178">IF(N178&lt;&gt;"yes", "", IFERROR((T178 - INDEX(T$2:T178, MATCH(TRUE, INDEX((T$2:T178&lt;&gt;"")*(N$2:N178="yes"), 0), 0))) * 1440 / COUNTIF(N$2:N178, "yes"), ""))</f>
        <v/>
      </c>
    </row>
    <row r="179" spans="18:21" x14ac:dyDescent="0.25">
      <c r="R179" s="2" t="str">
        <f t="shared" si="5"/>
        <v/>
      </c>
      <c r="S179" s="2" t="str" cm="1">
        <f t="array" aca="1" ref="S179" ca="1">IF(T179&lt;&gt;"", IFERROR((T179 - MAX(_xlfn._xlws.FILTER(T$2:T178, N$2:N178 = "yes"))) * 24 * 60, ""), "")</f>
        <v/>
      </c>
      <c r="T179" s="2" t="str">
        <f t="shared" ca="1" si="4"/>
        <v/>
      </c>
      <c r="U179" s="2" t="str" cm="1">
        <f t="array" ref="U179">IF(N179&lt;&gt;"yes", "", IFERROR((T179 - INDEX(T$2:T179, MATCH(TRUE, INDEX((T$2:T179&lt;&gt;"")*(N$2:N179="yes"), 0), 0))) * 1440 / COUNTIF(N$2:N179, "yes"), ""))</f>
        <v/>
      </c>
    </row>
    <row r="180" spans="18:21" x14ac:dyDescent="0.25">
      <c r="R180" s="2" t="str">
        <f t="shared" si="5"/>
        <v/>
      </c>
      <c r="S180" s="2" t="str" cm="1">
        <f t="array" aca="1" ref="S180" ca="1">IF(T180&lt;&gt;"", IFERROR((T180 - MAX(_xlfn._xlws.FILTER(T$2:T179, N$2:N179 = "yes"))) * 24 * 60, ""), "")</f>
        <v/>
      </c>
      <c r="T180" s="2" t="str">
        <f t="shared" ca="1" si="4"/>
        <v/>
      </c>
      <c r="U180" s="2" t="str" cm="1">
        <f t="array" ref="U180">IF(N180&lt;&gt;"yes", "", IFERROR((T180 - INDEX(T$2:T180, MATCH(TRUE, INDEX((T$2:T180&lt;&gt;"")*(N$2:N180="yes"), 0), 0))) * 1440 / COUNTIF(N$2:N180, "yes"), ""))</f>
        <v/>
      </c>
    </row>
    <row r="181" spans="18:21" x14ac:dyDescent="0.25">
      <c r="R181" s="2" t="str">
        <f t="shared" si="5"/>
        <v/>
      </c>
      <c r="S181" s="2" t="str" cm="1">
        <f t="array" aca="1" ref="S181" ca="1">IF(T181&lt;&gt;"", IFERROR((T181 - MAX(_xlfn._xlws.FILTER(T$2:T180, N$2:N180 = "yes"))) * 24 * 60, ""), "")</f>
        <v/>
      </c>
      <c r="T181" s="2" t="str">
        <f t="shared" ca="1" si="4"/>
        <v/>
      </c>
      <c r="U181" s="2" t="str" cm="1">
        <f t="array" ref="U181">IF(N181&lt;&gt;"yes", "", IFERROR((T181 - INDEX(T$2:T181, MATCH(TRUE, INDEX((T$2:T181&lt;&gt;"")*(N$2:N181="yes"), 0), 0))) * 1440 / COUNTIF(N$2:N181, "yes"), ""))</f>
        <v/>
      </c>
    </row>
    <row r="182" spans="18:21" x14ac:dyDescent="0.25">
      <c r="R182" s="2" t="str">
        <f t="shared" si="5"/>
        <v/>
      </c>
      <c r="S182" s="2" t="str" cm="1">
        <f t="array" aca="1" ref="S182" ca="1">IF(T182&lt;&gt;"", IFERROR((T182 - MAX(_xlfn._xlws.FILTER(T$2:T181, N$2:N181 = "yes"))) * 24 * 60, ""), "")</f>
        <v/>
      </c>
      <c r="T182" s="2" t="str">
        <f t="shared" ca="1" si="4"/>
        <v/>
      </c>
      <c r="U182" s="2" t="str" cm="1">
        <f t="array" ref="U182">IF(N182&lt;&gt;"yes", "", IFERROR((T182 - INDEX(T$2:T182, MATCH(TRUE, INDEX((T$2:T182&lt;&gt;"")*(N$2:N182="yes"), 0), 0))) * 1440 / COUNTIF(N$2:N182, "yes"), ""))</f>
        <v/>
      </c>
    </row>
    <row r="183" spans="18:21" x14ac:dyDescent="0.25">
      <c r="R183" s="2" t="str">
        <f t="shared" si="5"/>
        <v/>
      </c>
      <c r="S183" s="2" t="str" cm="1">
        <f t="array" aca="1" ref="S183" ca="1">IF(T183&lt;&gt;"", IFERROR((T183 - MAX(_xlfn._xlws.FILTER(T$2:T182, N$2:N182 = "yes"))) * 24 * 60, ""), "")</f>
        <v/>
      </c>
      <c r="T183" s="2" t="str">
        <f t="shared" ca="1" si="4"/>
        <v/>
      </c>
      <c r="U183" s="2" t="str" cm="1">
        <f t="array" ref="U183">IF(N183&lt;&gt;"yes", "", IFERROR((T183 - INDEX(T$2:T183, MATCH(TRUE, INDEX((T$2:T183&lt;&gt;"")*(N$2:N183="yes"), 0), 0))) * 1440 / COUNTIF(N$2:N183, "yes"), ""))</f>
        <v/>
      </c>
    </row>
    <row r="184" spans="18:21" x14ac:dyDescent="0.25">
      <c r="R184" s="2" t="str">
        <f t="shared" si="5"/>
        <v/>
      </c>
      <c r="S184" s="2" t="str" cm="1">
        <f t="array" aca="1" ref="S184" ca="1">IF(T184&lt;&gt;"", IFERROR((T184 - MAX(_xlfn._xlws.FILTER(T$2:T183, N$2:N183 = "yes"))) * 24 * 60, ""), "")</f>
        <v/>
      </c>
      <c r="T184" s="2" t="str">
        <f t="shared" ca="1" si="4"/>
        <v/>
      </c>
      <c r="U184" s="2" t="str" cm="1">
        <f t="array" ref="U184">IF(N184&lt;&gt;"yes", "", IFERROR((T184 - INDEX(T$2:T184, MATCH(TRUE, INDEX((T$2:T184&lt;&gt;"")*(N$2:N184="yes"), 0), 0))) * 1440 / COUNTIF(N$2:N184, "yes"), ""))</f>
        <v/>
      </c>
    </row>
    <row r="185" spans="18:21" x14ac:dyDescent="0.25">
      <c r="R185" s="2" t="str">
        <f t="shared" si="5"/>
        <v/>
      </c>
      <c r="S185" s="2" t="str" cm="1">
        <f t="array" aca="1" ref="S185" ca="1">IF(T185&lt;&gt;"", IFERROR((T185 - MAX(_xlfn._xlws.FILTER(T$2:T184, N$2:N184 = "yes"))) * 24 * 60, ""), "")</f>
        <v/>
      </c>
      <c r="T185" s="2" t="str">
        <f t="shared" ca="1" si="4"/>
        <v/>
      </c>
      <c r="U185" s="2" t="str" cm="1">
        <f t="array" ref="U185">IF(N185&lt;&gt;"yes", "", IFERROR((T185 - INDEX(T$2:T185, MATCH(TRUE, INDEX((T$2:T185&lt;&gt;"")*(N$2:N185="yes"), 0), 0))) * 1440 / COUNTIF(N$2:N185, "yes"), ""))</f>
        <v/>
      </c>
    </row>
    <row r="186" spans="18:21" x14ac:dyDescent="0.25">
      <c r="R186" s="2" t="str">
        <f t="shared" si="5"/>
        <v/>
      </c>
      <c r="S186" s="2" t="str" cm="1">
        <f t="array" aca="1" ref="S186" ca="1">IF(T186&lt;&gt;"", IFERROR((T186 - MAX(_xlfn._xlws.FILTER(T$2:T185, N$2:N185 = "yes"))) * 24 * 60, ""), "")</f>
        <v/>
      </c>
      <c r="T186" s="2" t="str">
        <f t="shared" ca="1" si="4"/>
        <v/>
      </c>
      <c r="U186" s="2" t="str" cm="1">
        <f t="array" ref="U186">IF(N186&lt;&gt;"yes", "", IFERROR((T186 - INDEX(T$2:T186, MATCH(TRUE, INDEX((T$2:T186&lt;&gt;"")*(N$2:N186="yes"), 0), 0))) * 1440 / COUNTIF(N$2:N186, "yes"), ""))</f>
        <v/>
      </c>
    </row>
    <row r="187" spans="18:21" x14ac:dyDescent="0.25">
      <c r="R187" s="2" t="str">
        <f t="shared" si="5"/>
        <v/>
      </c>
      <c r="S187" s="2" t="str" cm="1">
        <f t="array" aca="1" ref="S187" ca="1">IF(T187&lt;&gt;"", IFERROR((T187 - MAX(_xlfn._xlws.FILTER(T$2:T186, N$2:N186 = "yes"))) * 24 * 60, ""), "")</f>
        <v/>
      </c>
      <c r="T187" s="2" t="str">
        <f t="shared" ca="1" si="4"/>
        <v/>
      </c>
      <c r="U187" s="2" t="str" cm="1">
        <f t="array" ref="U187">IF(N187&lt;&gt;"yes", "", IFERROR((T187 - INDEX(T$2:T187, MATCH(TRUE, INDEX((T$2:T187&lt;&gt;"")*(N$2:N187="yes"), 0), 0))) * 1440 / COUNTIF(N$2:N187, "yes"), ""))</f>
        <v/>
      </c>
    </row>
    <row r="188" spans="18:21" x14ac:dyDescent="0.25">
      <c r="R188" s="2" t="str">
        <f t="shared" si="5"/>
        <v/>
      </c>
      <c r="S188" s="2" t="str" cm="1">
        <f t="array" aca="1" ref="S188" ca="1">IF(T188&lt;&gt;"", IFERROR((T188 - MAX(_xlfn._xlws.FILTER(T$2:T187, N$2:N187 = "yes"))) * 24 * 60, ""), "")</f>
        <v/>
      </c>
      <c r="T188" s="2" t="str">
        <f t="shared" ca="1" si="4"/>
        <v/>
      </c>
      <c r="U188" s="2" t="str" cm="1">
        <f t="array" ref="U188">IF(N188&lt;&gt;"yes", "", IFERROR((T188 - INDEX(T$2:T188, MATCH(TRUE, INDEX((T$2:T188&lt;&gt;"")*(N$2:N188="yes"), 0), 0))) * 1440 / COUNTIF(N$2:N188, "yes"), ""))</f>
        <v/>
      </c>
    </row>
    <row r="189" spans="18:21" x14ac:dyDescent="0.25">
      <c r="R189" s="2" t="str">
        <f t="shared" si="5"/>
        <v/>
      </c>
      <c r="S189" s="2" t="str" cm="1">
        <f t="array" aca="1" ref="S189" ca="1">IF(T189&lt;&gt;"", IFERROR((T189 - MAX(_xlfn._xlws.FILTER(T$2:T188, N$2:N188 = "yes"))) * 24 * 60, ""), "")</f>
        <v/>
      </c>
      <c r="T189" s="2" t="str">
        <f t="shared" ca="1" si="4"/>
        <v/>
      </c>
      <c r="U189" s="2" t="str" cm="1">
        <f t="array" ref="U189">IF(N189&lt;&gt;"yes", "", IFERROR((T189 - INDEX(T$2:T189, MATCH(TRUE, INDEX((T$2:T189&lt;&gt;"")*(N$2:N189="yes"), 0), 0))) * 1440 / COUNTIF(N$2:N189, "yes"), ""))</f>
        <v/>
      </c>
    </row>
    <row r="190" spans="18:21" x14ac:dyDescent="0.25">
      <c r="R190" s="2" t="str">
        <f t="shared" si="5"/>
        <v/>
      </c>
      <c r="S190" s="2" t="str" cm="1">
        <f t="array" aca="1" ref="S190" ca="1">IF(T190&lt;&gt;"", IFERROR((T190 - MAX(_xlfn._xlws.FILTER(T$2:T189, N$2:N189 = "yes"))) * 24 * 60, ""), "")</f>
        <v/>
      </c>
      <c r="T190" s="2" t="str">
        <f t="shared" ca="1" si="4"/>
        <v/>
      </c>
      <c r="U190" s="2" t="str" cm="1">
        <f t="array" ref="U190">IF(N190&lt;&gt;"yes", "", IFERROR((T190 - INDEX(T$2:T190, MATCH(TRUE, INDEX((T$2:T190&lt;&gt;"")*(N$2:N190="yes"), 0), 0))) * 1440 / COUNTIF(N$2:N190, "yes"), ""))</f>
        <v/>
      </c>
    </row>
    <row r="191" spans="18:21" x14ac:dyDescent="0.25">
      <c r="R191" s="2" t="str">
        <f t="shared" si="5"/>
        <v/>
      </c>
      <c r="S191" s="2" t="str" cm="1">
        <f t="array" aca="1" ref="S191" ca="1">IF(T191&lt;&gt;"", IFERROR((T191 - MAX(_xlfn._xlws.FILTER(T$2:T190, N$2:N190 = "yes"))) * 24 * 60, ""), "")</f>
        <v/>
      </c>
      <c r="T191" s="2" t="str">
        <f t="shared" ca="1" si="4"/>
        <v/>
      </c>
      <c r="U191" s="2" t="str" cm="1">
        <f t="array" ref="U191">IF(N191&lt;&gt;"yes", "", IFERROR((T191 - INDEX(T$2:T191, MATCH(TRUE, INDEX((T$2:T191&lt;&gt;"")*(N$2:N191="yes"), 0), 0))) * 1440 / COUNTIF(N$2:N191, "yes"), ""))</f>
        <v/>
      </c>
    </row>
    <row r="192" spans="18:21" x14ac:dyDescent="0.25">
      <c r="R192" s="2" t="str">
        <f t="shared" si="5"/>
        <v/>
      </c>
      <c r="S192" s="2" t="str" cm="1">
        <f t="array" aca="1" ref="S192" ca="1">IF(T192&lt;&gt;"", IFERROR((T192 - MAX(_xlfn._xlws.FILTER(T$2:T191, N$2:N191 = "yes"))) * 24 * 60, ""), "")</f>
        <v/>
      </c>
      <c r="T192" s="2" t="str">
        <f t="shared" ca="1" si="4"/>
        <v/>
      </c>
      <c r="U192" s="2" t="str" cm="1">
        <f t="array" ref="U192">IF(N192&lt;&gt;"yes", "", IFERROR((T192 - INDEX(T$2:T192, MATCH(TRUE, INDEX((T$2:T192&lt;&gt;"")*(N$2:N192="yes"), 0), 0))) * 1440 / COUNTIF(N$2:N192, "yes"), ""))</f>
        <v/>
      </c>
    </row>
    <row r="193" spans="18:21" x14ac:dyDescent="0.25">
      <c r="R193" s="2" t="str">
        <f t="shared" si="5"/>
        <v/>
      </c>
      <c r="S193" s="2" t="str" cm="1">
        <f t="array" aca="1" ref="S193" ca="1">IF(T193&lt;&gt;"", IFERROR((T193 - MAX(_xlfn._xlws.FILTER(T$2:T192, N$2:N192 = "yes"))) * 24 * 60, ""), "")</f>
        <v/>
      </c>
      <c r="T193" s="2" t="str">
        <f t="shared" ca="1" si="4"/>
        <v/>
      </c>
      <c r="U193" s="2" t="str" cm="1">
        <f t="array" ref="U193">IF(N193&lt;&gt;"yes", "", IFERROR((T193 - INDEX(T$2:T193, MATCH(TRUE, INDEX((T$2:T193&lt;&gt;"")*(N$2:N193="yes"), 0), 0))) * 1440 / COUNTIF(N$2:N193, "yes"), ""))</f>
        <v/>
      </c>
    </row>
    <row r="194" spans="18:21" x14ac:dyDescent="0.25">
      <c r="R194" s="2" t="str">
        <f t="shared" si="5"/>
        <v/>
      </c>
      <c r="S194" s="2" t="str" cm="1">
        <f t="array" aca="1" ref="S194" ca="1">IF(T194&lt;&gt;"", IFERROR((T194 - MAX(_xlfn._xlws.FILTER(T$2:T193, N$2:N193 = "yes"))) * 24 * 60, ""), "")</f>
        <v/>
      </c>
      <c r="T194" s="2" t="str">
        <f t="shared" ref="T194:T257" ca="1" si="6">IF(N194="yes", NOW(), "")</f>
        <v/>
      </c>
      <c r="U194" s="2" t="str" cm="1">
        <f t="array" ref="U194">IF(N194&lt;&gt;"yes", "", IFERROR((T194 - INDEX(T$2:T194, MATCH(TRUE, INDEX((T$2:T194&lt;&gt;"")*(N$2:N194="yes"), 0), 0))) * 1440 / COUNTIF(N$2:N194, "yes"), ""))</f>
        <v/>
      </c>
    </row>
    <row r="195" spans="18:21" x14ac:dyDescent="0.25">
      <c r="R195" s="2" t="str">
        <f t="shared" si="5"/>
        <v/>
      </c>
      <c r="S195" s="2" t="str" cm="1">
        <f t="array" aca="1" ref="S195" ca="1">IF(T195&lt;&gt;"", IFERROR((T195 - MAX(_xlfn._xlws.FILTER(T$2:T194, N$2:N194 = "yes"))) * 24 * 60, ""), "")</f>
        <v/>
      </c>
      <c r="T195" s="2" t="str">
        <f t="shared" ca="1" si="6"/>
        <v/>
      </c>
      <c r="U195" s="2" t="str" cm="1">
        <f t="array" ref="U195">IF(N195&lt;&gt;"yes", "", IFERROR((T195 - INDEX(T$2:T195, MATCH(TRUE, INDEX((T$2:T195&lt;&gt;"")*(N$2:N195="yes"), 0), 0))) * 1440 / COUNTIF(N$2:N195, "yes"), ""))</f>
        <v/>
      </c>
    </row>
    <row r="196" spans="18:21" x14ac:dyDescent="0.25">
      <c r="R196" s="2" t="str">
        <f t="shared" ref="R196:R259" si="7">IF(AND(ISNUMBER(P196), ISNUMBER(Q196)), (Q196 - P196) * 24 * 60, "")</f>
        <v/>
      </c>
      <c r="S196" s="2" t="str" cm="1">
        <f t="array" aca="1" ref="S196" ca="1">IF(T196&lt;&gt;"", IFERROR((T196 - MAX(_xlfn._xlws.FILTER(T$2:T195, N$2:N195 = "yes"))) * 24 * 60, ""), "")</f>
        <v/>
      </c>
      <c r="T196" s="2" t="str">
        <f t="shared" ca="1" si="6"/>
        <v/>
      </c>
      <c r="U196" s="2" t="str" cm="1">
        <f t="array" ref="U196">IF(N196&lt;&gt;"yes", "", IFERROR((T196 - INDEX(T$2:T196, MATCH(TRUE, INDEX((T$2:T196&lt;&gt;"")*(N$2:N196="yes"), 0), 0))) * 1440 / COUNTIF(N$2:N196, "yes"), ""))</f>
        <v/>
      </c>
    </row>
    <row r="197" spans="18:21" x14ac:dyDescent="0.25">
      <c r="R197" s="2" t="str">
        <f t="shared" si="7"/>
        <v/>
      </c>
      <c r="S197" s="2" t="str" cm="1">
        <f t="array" aca="1" ref="S197" ca="1">IF(T197&lt;&gt;"", IFERROR((T197 - MAX(_xlfn._xlws.FILTER(T$2:T196, N$2:N196 = "yes"))) * 24 * 60, ""), "")</f>
        <v/>
      </c>
      <c r="T197" s="2" t="str">
        <f t="shared" ca="1" si="6"/>
        <v/>
      </c>
      <c r="U197" s="2" t="str" cm="1">
        <f t="array" ref="U197">IF(N197&lt;&gt;"yes", "", IFERROR((T197 - INDEX(T$2:T197, MATCH(TRUE, INDEX((T$2:T197&lt;&gt;"")*(N$2:N197="yes"), 0), 0))) * 1440 / COUNTIF(N$2:N197, "yes"), ""))</f>
        <v/>
      </c>
    </row>
    <row r="198" spans="18:21" x14ac:dyDescent="0.25">
      <c r="R198" s="2" t="str">
        <f t="shared" si="7"/>
        <v/>
      </c>
      <c r="S198" s="2" t="str" cm="1">
        <f t="array" aca="1" ref="S198" ca="1">IF(T198&lt;&gt;"", IFERROR((T198 - MAX(_xlfn._xlws.FILTER(T$2:T197, N$2:N197 = "yes"))) * 24 * 60, ""), "")</f>
        <v/>
      </c>
      <c r="T198" s="2" t="str">
        <f t="shared" ca="1" si="6"/>
        <v/>
      </c>
      <c r="U198" s="2" t="str" cm="1">
        <f t="array" ref="U198">IF(N198&lt;&gt;"yes", "", IFERROR((T198 - INDEX(T$2:T198, MATCH(TRUE, INDEX((T$2:T198&lt;&gt;"")*(N$2:N198="yes"), 0), 0))) * 1440 / COUNTIF(N$2:N198, "yes"), ""))</f>
        <v/>
      </c>
    </row>
    <row r="199" spans="18:21" x14ac:dyDescent="0.25">
      <c r="R199" s="2" t="str">
        <f t="shared" si="7"/>
        <v/>
      </c>
      <c r="S199" s="2" t="str" cm="1">
        <f t="array" aca="1" ref="S199" ca="1">IF(T199&lt;&gt;"", IFERROR((T199 - MAX(_xlfn._xlws.FILTER(T$2:T198, N$2:N198 = "yes"))) * 24 * 60, ""), "")</f>
        <v/>
      </c>
      <c r="T199" s="2" t="str">
        <f t="shared" ca="1" si="6"/>
        <v/>
      </c>
      <c r="U199" s="2" t="str" cm="1">
        <f t="array" ref="U199">IF(N199&lt;&gt;"yes", "", IFERROR((T199 - INDEX(T$2:T199, MATCH(TRUE, INDEX((T$2:T199&lt;&gt;"")*(N$2:N199="yes"), 0), 0))) * 1440 / COUNTIF(N$2:N199, "yes"), ""))</f>
        <v/>
      </c>
    </row>
    <row r="200" spans="18:21" x14ac:dyDescent="0.25">
      <c r="R200" s="2" t="str">
        <f t="shared" si="7"/>
        <v/>
      </c>
      <c r="S200" s="2" t="str" cm="1">
        <f t="array" aca="1" ref="S200" ca="1">IF(T200&lt;&gt;"", IFERROR((T200 - MAX(_xlfn._xlws.FILTER(T$2:T199, N$2:N199 = "yes"))) * 24 * 60, ""), "")</f>
        <v/>
      </c>
      <c r="T200" s="2" t="str">
        <f t="shared" ca="1" si="6"/>
        <v/>
      </c>
      <c r="U200" s="2" t="str" cm="1">
        <f t="array" ref="U200">IF(N200&lt;&gt;"yes", "", IFERROR((T200 - INDEX(T$2:T200, MATCH(TRUE, INDEX((T$2:T200&lt;&gt;"")*(N$2:N200="yes"), 0), 0))) * 1440 / COUNTIF(N$2:N200, "yes"), ""))</f>
        <v/>
      </c>
    </row>
    <row r="201" spans="18:21" x14ac:dyDescent="0.25">
      <c r="R201" s="2" t="str">
        <f t="shared" si="7"/>
        <v/>
      </c>
      <c r="S201" s="2" t="str" cm="1">
        <f t="array" aca="1" ref="S201" ca="1">IF(T201&lt;&gt;"", IFERROR((T201 - MAX(_xlfn._xlws.FILTER(T$2:T200, N$2:N200 = "yes"))) * 24 * 60, ""), "")</f>
        <v/>
      </c>
      <c r="T201" s="2" t="str">
        <f t="shared" ca="1" si="6"/>
        <v/>
      </c>
      <c r="U201" s="2" t="str" cm="1">
        <f t="array" ref="U201">IF(N201&lt;&gt;"yes", "", IFERROR((T201 - INDEX(T$2:T201, MATCH(TRUE, INDEX((T$2:T201&lt;&gt;"")*(N$2:N201="yes"), 0), 0))) * 1440 / COUNTIF(N$2:N201, "yes"), ""))</f>
        <v/>
      </c>
    </row>
    <row r="202" spans="18:21" x14ac:dyDescent="0.25">
      <c r="R202" s="2" t="str">
        <f t="shared" si="7"/>
        <v/>
      </c>
      <c r="S202" s="2" t="str" cm="1">
        <f t="array" aca="1" ref="S202" ca="1">IF(T202&lt;&gt;"", IFERROR((T202 - MAX(_xlfn._xlws.FILTER(T$2:T201, N$2:N201 = "yes"))) * 24 * 60, ""), "")</f>
        <v/>
      </c>
      <c r="T202" s="2" t="str">
        <f t="shared" ca="1" si="6"/>
        <v/>
      </c>
      <c r="U202" s="2" t="str" cm="1">
        <f t="array" ref="U202">IF(N202&lt;&gt;"yes", "", IFERROR((T202 - INDEX(T$2:T202, MATCH(TRUE, INDEX((T$2:T202&lt;&gt;"")*(N$2:N202="yes"), 0), 0))) * 1440 / COUNTIF(N$2:N202, "yes"), ""))</f>
        <v/>
      </c>
    </row>
    <row r="203" spans="18:21" x14ac:dyDescent="0.25">
      <c r="R203" s="2" t="str">
        <f t="shared" si="7"/>
        <v/>
      </c>
      <c r="S203" s="2" t="str" cm="1">
        <f t="array" aca="1" ref="S203" ca="1">IF(T203&lt;&gt;"", IFERROR((T203 - MAX(_xlfn._xlws.FILTER(T$2:T202, N$2:N202 = "yes"))) * 24 * 60, ""), "")</f>
        <v/>
      </c>
      <c r="T203" s="2" t="str">
        <f t="shared" ca="1" si="6"/>
        <v/>
      </c>
      <c r="U203" s="2" t="str" cm="1">
        <f t="array" ref="U203">IF(N203&lt;&gt;"yes", "", IFERROR((T203 - INDEX(T$2:T203, MATCH(TRUE, INDEX((T$2:T203&lt;&gt;"")*(N$2:N203="yes"), 0), 0))) * 1440 / COUNTIF(N$2:N203, "yes"), ""))</f>
        <v/>
      </c>
    </row>
    <row r="204" spans="18:21" x14ac:dyDescent="0.25">
      <c r="R204" s="2" t="str">
        <f t="shared" si="7"/>
        <v/>
      </c>
      <c r="S204" s="2" t="str" cm="1">
        <f t="array" aca="1" ref="S204" ca="1">IF(T204&lt;&gt;"", IFERROR((T204 - MAX(_xlfn._xlws.FILTER(T$2:T203, N$2:N203 = "yes"))) * 24 * 60, ""), "")</f>
        <v/>
      </c>
      <c r="T204" s="2" t="str">
        <f t="shared" ca="1" si="6"/>
        <v/>
      </c>
      <c r="U204" s="2" t="str" cm="1">
        <f t="array" ref="U204">IF(N204&lt;&gt;"yes", "", IFERROR((T204 - INDEX(T$2:T204, MATCH(TRUE, INDEX((T$2:T204&lt;&gt;"")*(N$2:N204="yes"), 0), 0))) * 1440 / COUNTIF(N$2:N204, "yes"), ""))</f>
        <v/>
      </c>
    </row>
    <row r="205" spans="18:21" x14ac:dyDescent="0.25">
      <c r="R205" s="2" t="str">
        <f t="shared" si="7"/>
        <v/>
      </c>
      <c r="S205" s="2" t="str" cm="1">
        <f t="array" aca="1" ref="S205" ca="1">IF(T205&lt;&gt;"", IFERROR((T205 - MAX(_xlfn._xlws.FILTER(T$2:T204, N$2:N204 = "yes"))) * 24 * 60, ""), "")</f>
        <v/>
      </c>
      <c r="T205" s="2" t="str">
        <f t="shared" ca="1" si="6"/>
        <v/>
      </c>
      <c r="U205" s="2" t="str" cm="1">
        <f t="array" ref="U205">IF(N205&lt;&gt;"yes", "", IFERROR((T205 - INDEX(T$2:T205, MATCH(TRUE, INDEX((T$2:T205&lt;&gt;"")*(N$2:N205="yes"), 0), 0))) * 1440 / COUNTIF(N$2:N205, "yes"), ""))</f>
        <v/>
      </c>
    </row>
    <row r="206" spans="18:21" x14ac:dyDescent="0.25">
      <c r="R206" s="2" t="str">
        <f t="shared" si="7"/>
        <v/>
      </c>
      <c r="S206" s="2" t="str" cm="1">
        <f t="array" aca="1" ref="S206" ca="1">IF(T206&lt;&gt;"", IFERROR((T206 - MAX(_xlfn._xlws.FILTER(T$2:T205, N$2:N205 = "yes"))) * 24 * 60, ""), "")</f>
        <v/>
      </c>
      <c r="T206" s="2" t="str">
        <f t="shared" ca="1" si="6"/>
        <v/>
      </c>
      <c r="U206" s="2" t="str" cm="1">
        <f t="array" ref="U206">IF(N206&lt;&gt;"yes", "", IFERROR((T206 - INDEX(T$2:T206, MATCH(TRUE, INDEX((T$2:T206&lt;&gt;"")*(N$2:N206="yes"), 0), 0))) * 1440 / COUNTIF(N$2:N206, "yes"), ""))</f>
        <v/>
      </c>
    </row>
    <row r="207" spans="18:21" x14ac:dyDescent="0.25">
      <c r="R207" s="2" t="str">
        <f t="shared" si="7"/>
        <v/>
      </c>
      <c r="S207" s="2" t="str" cm="1">
        <f t="array" aca="1" ref="S207" ca="1">IF(T207&lt;&gt;"", IFERROR((T207 - MAX(_xlfn._xlws.FILTER(T$2:T206, N$2:N206 = "yes"))) * 24 * 60, ""), "")</f>
        <v/>
      </c>
      <c r="T207" s="2" t="str">
        <f t="shared" ca="1" si="6"/>
        <v/>
      </c>
      <c r="U207" s="2" t="str" cm="1">
        <f t="array" ref="U207">IF(N207&lt;&gt;"yes", "", IFERROR((T207 - INDEX(T$2:T207, MATCH(TRUE, INDEX((T$2:T207&lt;&gt;"")*(N$2:N207="yes"), 0), 0))) * 1440 / COUNTIF(N$2:N207, "yes"), ""))</f>
        <v/>
      </c>
    </row>
    <row r="208" spans="18:21" x14ac:dyDescent="0.25">
      <c r="R208" s="2" t="str">
        <f t="shared" si="7"/>
        <v/>
      </c>
      <c r="S208" s="2" t="str" cm="1">
        <f t="array" aca="1" ref="S208" ca="1">IF(T208&lt;&gt;"", IFERROR((T208 - MAX(_xlfn._xlws.FILTER(T$2:T207, N$2:N207 = "yes"))) * 24 * 60, ""), "")</f>
        <v/>
      </c>
      <c r="T208" s="2" t="str">
        <f t="shared" ca="1" si="6"/>
        <v/>
      </c>
      <c r="U208" s="2" t="str" cm="1">
        <f t="array" ref="U208">IF(N208&lt;&gt;"yes", "", IFERROR((T208 - INDEX(T$2:T208, MATCH(TRUE, INDEX((T$2:T208&lt;&gt;"")*(N$2:N208="yes"), 0), 0))) * 1440 / COUNTIF(N$2:N208, "yes"), ""))</f>
        <v/>
      </c>
    </row>
    <row r="209" spans="18:21" x14ac:dyDescent="0.25">
      <c r="R209" s="2" t="str">
        <f t="shared" si="7"/>
        <v/>
      </c>
      <c r="S209" s="2" t="str" cm="1">
        <f t="array" aca="1" ref="S209" ca="1">IF(T209&lt;&gt;"", IFERROR((T209 - MAX(_xlfn._xlws.FILTER(T$2:T208, N$2:N208 = "yes"))) * 24 * 60, ""), "")</f>
        <v/>
      </c>
      <c r="T209" s="2" t="str">
        <f t="shared" ca="1" si="6"/>
        <v/>
      </c>
      <c r="U209" s="2" t="str" cm="1">
        <f t="array" ref="U209">IF(N209&lt;&gt;"yes", "", IFERROR((T209 - INDEX(T$2:T209, MATCH(TRUE, INDEX((T$2:T209&lt;&gt;"")*(N$2:N209="yes"), 0), 0))) * 1440 / COUNTIF(N$2:N209, "yes"), ""))</f>
        <v/>
      </c>
    </row>
    <row r="210" spans="18:21" x14ac:dyDescent="0.25">
      <c r="R210" s="2" t="str">
        <f t="shared" si="7"/>
        <v/>
      </c>
      <c r="S210" s="2" t="str" cm="1">
        <f t="array" aca="1" ref="S210" ca="1">IF(T210&lt;&gt;"", IFERROR((T210 - MAX(_xlfn._xlws.FILTER(T$2:T209, N$2:N209 = "yes"))) * 24 * 60, ""), "")</f>
        <v/>
      </c>
      <c r="T210" s="2" t="str">
        <f t="shared" ca="1" si="6"/>
        <v/>
      </c>
      <c r="U210" s="2" t="str" cm="1">
        <f t="array" ref="U210">IF(N210&lt;&gt;"yes", "", IFERROR((T210 - INDEX(T$2:T210, MATCH(TRUE, INDEX((T$2:T210&lt;&gt;"")*(N$2:N210="yes"), 0), 0))) * 1440 / COUNTIF(N$2:N210, "yes"), ""))</f>
        <v/>
      </c>
    </row>
    <row r="211" spans="18:21" x14ac:dyDescent="0.25">
      <c r="R211" s="2" t="str">
        <f t="shared" si="7"/>
        <v/>
      </c>
      <c r="S211" s="2" t="str" cm="1">
        <f t="array" aca="1" ref="S211" ca="1">IF(T211&lt;&gt;"", IFERROR((T211 - MAX(_xlfn._xlws.FILTER(T$2:T210, N$2:N210 = "yes"))) * 24 * 60, ""), "")</f>
        <v/>
      </c>
      <c r="T211" s="2" t="str">
        <f t="shared" ca="1" si="6"/>
        <v/>
      </c>
      <c r="U211" s="2" t="str" cm="1">
        <f t="array" ref="U211">IF(N211&lt;&gt;"yes", "", IFERROR((T211 - INDEX(T$2:T211, MATCH(TRUE, INDEX((T$2:T211&lt;&gt;"")*(N$2:N211="yes"), 0), 0))) * 1440 / COUNTIF(N$2:N211, "yes"), ""))</f>
        <v/>
      </c>
    </row>
    <row r="212" spans="18:21" x14ac:dyDescent="0.25">
      <c r="R212" s="2" t="str">
        <f t="shared" si="7"/>
        <v/>
      </c>
      <c r="S212" s="2" t="str" cm="1">
        <f t="array" aca="1" ref="S212" ca="1">IF(T212&lt;&gt;"", IFERROR((T212 - MAX(_xlfn._xlws.FILTER(T$2:T211, N$2:N211 = "yes"))) * 24 * 60, ""), "")</f>
        <v/>
      </c>
      <c r="T212" s="2" t="str">
        <f t="shared" ca="1" si="6"/>
        <v/>
      </c>
      <c r="U212" s="2" t="str" cm="1">
        <f t="array" ref="U212">IF(N212&lt;&gt;"yes", "", IFERROR((T212 - INDEX(T$2:T212, MATCH(TRUE, INDEX((T$2:T212&lt;&gt;"")*(N$2:N212="yes"), 0), 0))) * 1440 / COUNTIF(N$2:N212, "yes"), ""))</f>
        <v/>
      </c>
    </row>
    <row r="213" spans="18:21" x14ac:dyDescent="0.25">
      <c r="R213" s="2" t="str">
        <f t="shared" si="7"/>
        <v/>
      </c>
      <c r="S213" s="2" t="str" cm="1">
        <f t="array" aca="1" ref="S213" ca="1">IF(T213&lt;&gt;"", IFERROR((T213 - MAX(_xlfn._xlws.FILTER(T$2:T212, N$2:N212 = "yes"))) * 24 * 60, ""), "")</f>
        <v/>
      </c>
      <c r="T213" s="2" t="str">
        <f t="shared" ca="1" si="6"/>
        <v/>
      </c>
      <c r="U213" s="2" t="str" cm="1">
        <f t="array" ref="U213">IF(N213&lt;&gt;"yes", "", IFERROR((T213 - INDEX(T$2:T213, MATCH(TRUE, INDEX((T$2:T213&lt;&gt;"")*(N$2:N213="yes"), 0), 0))) * 1440 / COUNTIF(N$2:N213, "yes"), ""))</f>
        <v/>
      </c>
    </row>
    <row r="214" spans="18:21" x14ac:dyDescent="0.25">
      <c r="R214" s="2" t="str">
        <f t="shared" si="7"/>
        <v/>
      </c>
      <c r="S214" s="2" t="str" cm="1">
        <f t="array" aca="1" ref="S214" ca="1">IF(T214&lt;&gt;"", IFERROR((T214 - MAX(_xlfn._xlws.FILTER(T$2:T213, N$2:N213 = "yes"))) * 24 * 60, ""), "")</f>
        <v/>
      </c>
      <c r="T214" s="2" t="str">
        <f t="shared" ca="1" si="6"/>
        <v/>
      </c>
      <c r="U214" s="2" t="str" cm="1">
        <f t="array" ref="U214">IF(N214&lt;&gt;"yes", "", IFERROR((T214 - INDEX(T$2:T214, MATCH(TRUE, INDEX((T$2:T214&lt;&gt;"")*(N$2:N214="yes"), 0), 0))) * 1440 / COUNTIF(N$2:N214, "yes"), ""))</f>
        <v/>
      </c>
    </row>
    <row r="215" spans="18:21" x14ac:dyDescent="0.25">
      <c r="R215" s="2" t="str">
        <f t="shared" si="7"/>
        <v/>
      </c>
      <c r="S215" s="2" t="str" cm="1">
        <f t="array" aca="1" ref="S215" ca="1">IF(T215&lt;&gt;"", IFERROR((T215 - MAX(_xlfn._xlws.FILTER(T$2:T214, N$2:N214 = "yes"))) * 24 * 60, ""), "")</f>
        <v/>
      </c>
      <c r="T215" s="2" t="str">
        <f t="shared" ca="1" si="6"/>
        <v/>
      </c>
      <c r="U215" s="2" t="str" cm="1">
        <f t="array" ref="U215">IF(N215&lt;&gt;"yes", "", IFERROR((T215 - INDEX(T$2:T215, MATCH(TRUE, INDEX((T$2:T215&lt;&gt;"")*(N$2:N215="yes"), 0), 0))) * 1440 / COUNTIF(N$2:N215, "yes"), ""))</f>
        <v/>
      </c>
    </row>
    <row r="216" spans="18:21" x14ac:dyDescent="0.25">
      <c r="R216" s="2" t="str">
        <f t="shared" si="7"/>
        <v/>
      </c>
      <c r="S216" s="2" t="str" cm="1">
        <f t="array" aca="1" ref="S216" ca="1">IF(T216&lt;&gt;"", IFERROR((T216 - MAX(_xlfn._xlws.FILTER(T$2:T215, N$2:N215 = "yes"))) * 24 * 60, ""), "")</f>
        <v/>
      </c>
      <c r="T216" s="2" t="str">
        <f t="shared" ca="1" si="6"/>
        <v/>
      </c>
      <c r="U216" s="2" t="str" cm="1">
        <f t="array" ref="U216">IF(N216&lt;&gt;"yes", "", IFERROR((T216 - INDEX(T$2:T216, MATCH(TRUE, INDEX((T$2:T216&lt;&gt;"")*(N$2:N216="yes"), 0), 0))) * 1440 / COUNTIF(N$2:N216, "yes"), ""))</f>
        <v/>
      </c>
    </row>
    <row r="217" spans="18:21" x14ac:dyDescent="0.25">
      <c r="R217" s="2" t="str">
        <f t="shared" si="7"/>
        <v/>
      </c>
      <c r="S217" s="2" t="str" cm="1">
        <f t="array" aca="1" ref="S217" ca="1">IF(T217&lt;&gt;"", IFERROR((T217 - MAX(_xlfn._xlws.FILTER(T$2:T216, N$2:N216 = "yes"))) * 24 * 60, ""), "")</f>
        <v/>
      </c>
      <c r="T217" s="2" t="str">
        <f t="shared" ca="1" si="6"/>
        <v/>
      </c>
      <c r="U217" s="2" t="str" cm="1">
        <f t="array" ref="U217">IF(N217&lt;&gt;"yes", "", IFERROR((T217 - INDEX(T$2:T217, MATCH(TRUE, INDEX((T$2:T217&lt;&gt;"")*(N$2:N217="yes"), 0), 0))) * 1440 / COUNTIF(N$2:N217, "yes"), ""))</f>
        <v/>
      </c>
    </row>
    <row r="218" spans="18:21" x14ac:dyDescent="0.25">
      <c r="R218" s="2" t="str">
        <f t="shared" si="7"/>
        <v/>
      </c>
      <c r="S218" s="2" t="str" cm="1">
        <f t="array" aca="1" ref="S218" ca="1">IF(T218&lt;&gt;"", IFERROR((T218 - MAX(_xlfn._xlws.FILTER(T$2:T217, N$2:N217 = "yes"))) * 24 * 60, ""), "")</f>
        <v/>
      </c>
      <c r="T218" s="2" t="str">
        <f t="shared" ca="1" si="6"/>
        <v/>
      </c>
      <c r="U218" s="2" t="str" cm="1">
        <f t="array" ref="U218">IF(N218&lt;&gt;"yes", "", IFERROR((T218 - INDEX(T$2:T218, MATCH(TRUE, INDEX((T$2:T218&lt;&gt;"")*(N$2:N218="yes"), 0), 0))) * 1440 / COUNTIF(N$2:N218, "yes"), ""))</f>
        <v/>
      </c>
    </row>
    <row r="219" spans="18:21" x14ac:dyDescent="0.25">
      <c r="R219" s="2" t="str">
        <f t="shared" si="7"/>
        <v/>
      </c>
      <c r="S219" s="2" t="str" cm="1">
        <f t="array" aca="1" ref="S219" ca="1">IF(T219&lt;&gt;"", IFERROR((T219 - MAX(_xlfn._xlws.FILTER(T$2:T218, N$2:N218 = "yes"))) * 24 * 60, ""), "")</f>
        <v/>
      </c>
      <c r="T219" s="2" t="str">
        <f t="shared" ca="1" si="6"/>
        <v/>
      </c>
      <c r="U219" s="2" t="str" cm="1">
        <f t="array" ref="U219">IF(N219&lt;&gt;"yes", "", IFERROR((T219 - INDEX(T$2:T219, MATCH(TRUE, INDEX((T$2:T219&lt;&gt;"")*(N$2:N219="yes"), 0), 0))) * 1440 / COUNTIF(N$2:N219, "yes"), ""))</f>
        <v/>
      </c>
    </row>
    <row r="220" spans="18:21" x14ac:dyDescent="0.25">
      <c r="R220" s="2" t="str">
        <f t="shared" si="7"/>
        <v/>
      </c>
      <c r="S220" s="2" t="str" cm="1">
        <f t="array" aca="1" ref="S220" ca="1">IF(T220&lt;&gt;"", IFERROR((T220 - MAX(_xlfn._xlws.FILTER(T$2:T219, N$2:N219 = "yes"))) * 24 * 60, ""), "")</f>
        <v/>
      </c>
      <c r="T220" s="2" t="str">
        <f t="shared" ca="1" si="6"/>
        <v/>
      </c>
      <c r="U220" s="2" t="str" cm="1">
        <f t="array" ref="U220">IF(N220&lt;&gt;"yes", "", IFERROR((T220 - INDEX(T$2:T220, MATCH(TRUE, INDEX((T$2:T220&lt;&gt;"")*(N$2:N220="yes"), 0), 0))) * 1440 / COUNTIF(N$2:N220, "yes"), ""))</f>
        <v/>
      </c>
    </row>
    <row r="221" spans="18:21" x14ac:dyDescent="0.25">
      <c r="R221" s="2" t="str">
        <f t="shared" si="7"/>
        <v/>
      </c>
      <c r="S221" s="2" t="str" cm="1">
        <f t="array" aca="1" ref="S221" ca="1">IF(T221&lt;&gt;"", IFERROR((T221 - MAX(_xlfn._xlws.FILTER(T$2:T220, N$2:N220 = "yes"))) * 24 * 60, ""), "")</f>
        <v/>
      </c>
      <c r="T221" s="2" t="str">
        <f t="shared" ca="1" si="6"/>
        <v/>
      </c>
      <c r="U221" s="2" t="str" cm="1">
        <f t="array" ref="U221">IF(N221&lt;&gt;"yes", "", IFERROR((T221 - INDEX(T$2:T221, MATCH(TRUE, INDEX((T$2:T221&lt;&gt;"")*(N$2:N221="yes"), 0), 0))) * 1440 / COUNTIF(N$2:N221, "yes"), ""))</f>
        <v/>
      </c>
    </row>
    <row r="222" spans="18:21" x14ac:dyDescent="0.25">
      <c r="R222" s="2" t="str">
        <f t="shared" si="7"/>
        <v/>
      </c>
      <c r="S222" s="2" t="str" cm="1">
        <f t="array" aca="1" ref="S222" ca="1">IF(T222&lt;&gt;"", IFERROR((T222 - MAX(_xlfn._xlws.FILTER(T$2:T221, N$2:N221 = "yes"))) * 24 * 60, ""), "")</f>
        <v/>
      </c>
      <c r="T222" s="2" t="str">
        <f t="shared" ca="1" si="6"/>
        <v/>
      </c>
      <c r="U222" s="2" t="str" cm="1">
        <f t="array" ref="U222">IF(N222&lt;&gt;"yes", "", IFERROR((T222 - INDEX(T$2:T222, MATCH(TRUE, INDEX((T$2:T222&lt;&gt;"")*(N$2:N222="yes"), 0), 0))) * 1440 / COUNTIF(N$2:N222, "yes"), ""))</f>
        <v/>
      </c>
    </row>
    <row r="223" spans="18:21" x14ac:dyDescent="0.25">
      <c r="R223" s="2" t="str">
        <f t="shared" si="7"/>
        <v/>
      </c>
      <c r="S223" s="2" t="str" cm="1">
        <f t="array" aca="1" ref="S223" ca="1">IF(T223&lt;&gt;"", IFERROR((T223 - MAX(_xlfn._xlws.FILTER(T$2:T222, N$2:N222 = "yes"))) * 24 * 60, ""), "")</f>
        <v/>
      </c>
      <c r="T223" s="2" t="str">
        <f t="shared" ca="1" si="6"/>
        <v/>
      </c>
      <c r="U223" s="2" t="str" cm="1">
        <f t="array" ref="U223">IF(N223&lt;&gt;"yes", "", IFERROR((T223 - INDEX(T$2:T223, MATCH(TRUE, INDEX((T$2:T223&lt;&gt;"")*(N$2:N223="yes"), 0), 0))) * 1440 / COUNTIF(N$2:N223, "yes"), ""))</f>
        <v/>
      </c>
    </row>
    <row r="224" spans="18:21" x14ac:dyDescent="0.25">
      <c r="R224" s="2" t="str">
        <f t="shared" si="7"/>
        <v/>
      </c>
      <c r="S224" s="2" t="str" cm="1">
        <f t="array" aca="1" ref="S224" ca="1">IF(T224&lt;&gt;"", IFERROR((T224 - MAX(_xlfn._xlws.FILTER(T$2:T223, N$2:N223 = "yes"))) * 24 * 60, ""), "")</f>
        <v/>
      </c>
      <c r="T224" s="2" t="str">
        <f t="shared" ca="1" si="6"/>
        <v/>
      </c>
      <c r="U224" s="2" t="str" cm="1">
        <f t="array" ref="U224">IF(N224&lt;&gt;"yes", "", IFERROR((T224 - INDEX(T$2:T224, MATCH(TRUE, INDEX((T$2:T224&lt;&gt;"")*(N$2:N224="yes"), 0), 0))) * 1440 / COUNTIF(N$2:N224, "yes"), ""))</f>
        <v/>
      </c>
    </row>
    <row r="225" spans="18:21" x14ac:dyDescent="0.25">
      <c r="R225" s="2" t="str">
        <f t="shared" si="7"/>
        <v/>
      </c>
      <c r="S225" s="2" t="str" cm="1">
        <f t="array" aca="1" ref="S225" ca="1">IF(T225&lt;&gt;"", IFERROR((T225 - MAX(_xlfn._xlws.FILTER(T$2:T224, N$2:N224 = "yes"))) * 24 * 60, ""), "")</f>
        <v/>
      </c>
      <c r="T225" s="2" t="str">
        <f t="shared" ca="1" si="6"/>
        <v/>
      </c>
      <c r="U225" s="2" t="str" cm="1">
        <f t="array" ref="U225">IF(N225&lt;&gt;"yes", "", IFERROR((T225 - INDEX(T$2:T225, MATCH(TRUE, INDEX((T$2:T225&lt;&gt;"")*(N$2:N225="yes"), 0), 0))) * 1440 / COUNTIF(N$2:N225, "yes"), ""))</f>
        <v/>
      </c>
    </row>
    <row r="226" spans="18:21" x14ac:dyDescent="0.25">
      <c r="R226" s="2" t="str">
        <f t="shared" si="7"/>
        <v/>
      </c>
      <c r="S226" s="2" t="str" cm="1">
        <f t="array" aca="1" ref="S226" ca="1">IF(T226&lt;&gt;"", IFERROR((T226 - MAX(_xlfn._xlws.FILTER(T$2:T225, N$2:N225 = "yes"))) * 24 * 60, ""), "")</f>
        <v/>
      </c>
      <c r="T226" s="2" t="str">
        <f t="shared" ca="1" si="6"/>
        <v/>
      </c>
      <c r="U226" s="2" t="str" cm="1">
        <f t="array" ref="U226">IF(N226&lt;&gt;"yes", "", IFERROR((T226 - INDEX(T$2:T226, MATCH(TRUE, INDEX((T$2:T226&lt;&gt;"")*(N$2:N226="yes"), 0), 0))) * 1440 / COUNTIF(N$2:N226, "yes"), ""))</f>
        <v/>
      </c>
    </row>
    <row r="227" spans="18:21" x14ac:dyDescent="0.25">
      <c r="R227" s="2" t="str">
        <f t="shared" si="7"/>
        <v/>
      </c>
      <c r="S227" s="2" t="str" cm="1">
        <f t="array" aca="1" ref="S227" ca="1">IF(T227&lt;&gt;"", IFERROR((T227 - MAX(_xlfn._xlws.FILTER(T$2:T226, N$2:N226 = "yes"))) * 24 * 60, ""), "")</f>
        <v/>
      </c>
      <c r="T227" s="2" t="str">
        <f t="shared" ca="1" si="6"/>
        <v/>
      </c>
      <c r="U227" s="2" t="str" cm="1">
        <f t="array" ref="U227">IF(N227&lt;&gt;"yes", "", IFERROR((T227 - INDEX(T$2:T227, MATCH(TRUE, INDEX((T$2:T227&lt;&gt;"")*(N$2:N227="yes"), 0), 0))) * 1440 / COUNTIF(N$2:N227, "yes"), ""))</f>
        <v/>
      </c>
    </row>
    <row r="228" spans="18:21" x14ac:dyDescent="0.25">
      <c r="R228" s="2" t="str">
        <f t="shared" si="7"/>
        <v/>
      </c>
      <c r="S228" s="2" t="str" cm="1">
        <f t="array" aca="1" ref="S228" ca="1">IF(T228&lt;&gt;"", IFERROR((T228 - MAX(_xlfn._xlws.FILTER(T$2:T227, N$2:N227 = "yes"))) * 24 * 60, ""), "")</f>
        <v/>
      </c>
      <c r="T228" s="2" t="str">
        <f t="shared" ca="1" si="6"/>
        <v/>
      </c>
      <c r="U228" s="2" t="str" cm="1">
        <f t="array" ref="U228">IF(N228&lt;&gt;"yes", "", IFERROR((T228 - INDEX(T$2:T228, MATCH(TRUE, INDEX((T$2:T228&lt;&gt;"")*(N$2:N228="yes"), 0), 0))) * 1440 / COUNTIF(N$2:N228, "yes"), ""))</f>
        <v/>
      </c>
    </row>
    <row r="229" spans="18:21" x14ac:dyDescent="0.25">
      <c r="R229" s="2" t="str">
        <f t="shared" si="7"/>
        <v/>
      </c>
      <c r="S229" s="2" t="str" cm="1">
        <f t="array" aca="1" ref="S229" ca="1">IF(T229&lt;&gt;"", IFERROR((T229 - MAX(_xlfn._xlws.FILTER(T$2:T228, N$2:N228 = "yes"))) * 24 * 60, ""), "")</f>
        <v/>
      </c>
      <c r="T229" s="2" t="str">
        <f t="shared" ca="1" si="6"/>
        <v/>
      </c>
      <c r="U229" s="2" t="str" cm="1">
        <f t="array" ref="U229">IF(N229&lt;&gt;"yes", "", IFERROR((T229 - INDEX(T$2:T229, MATCH(TRUE, INDEX((T$2:T229&lt;&gt;"")*(N$2:N229="yes"), 0), 0))) * 1440 / COUNTIF(N$2:N229, "yes"), ""))</f>
        <v/>
      </c>
    </row>
    <row r="230" spans="18:21" x14ac:dyDescent="0.25">
      <c r="R230" s="2" t="str">
        <f t="shared" si="7"/>
        <v/>
      </c>
      <c r="S230" s="2" t="str" cm="1">
        <f t="array" aca="1" ref="S230" ca="1">IF(T230&lt;&gt;"", IFERROR((T230 - MAX(_xlfn._xlws.FILTER(T$2:T229, N$2:N229 = "yes"))) * 24 * 60, ""), "")</f>
        <v/>
      </c>
      <c r="T230" s="2" t="str">
        <f t="shared" ca="1" si="6"/>
        <v/>
      </c>
      <c r="U230" s="2" t="str" cm="1">
        <f t="array" ref="U230">IF(N230&lt;&gt;"yes", "", IFERROR((T230 - INDEX(T$2:T230, MATCH(TRUE, INDEX((T$2:T230&lt;&gt;"")*(N$2:N230="yes"), 0), 0))) * 1440 / COUNTIF(N$2:N230, "yes"), ""))</f>
        <v/>
      </c>
    </row>
    <row r="231" spans="18:21" x14ac:dyDescent="0.25">
      <c r="R231" s="2" t="str">
        <f t="shared" si="7"/>
        <v/>
      </c>
      <c r="S231" s="2" t="str" cm="1">
        <f t="array" aca="1" ref="S231" ca="1">IF(T231&lt;&gt;"", IFERROR((T231 - MAX(_xlfn._xlws.FILTER(T$2:T230, N$2:N230 = "yes"))) * 24 * 60, ""), "")</f>
        <v/>
      </c>
      <c r="T231" s="2" t="str">
        <f t="shared" ca="1" si="6"/>
        <v/>
      </c>
      <c r="U231" s="2" t="str" cm="1">
        <f t="array" ref="U231">IF(N231&lt;&gt;"yes", "", IFERROR((T231 - INDEX(T$2:T231, MATCH(TRUE, INDEX((T$2:T231&lt;&gt;"")*(N$2:N231="yes"), 0), 0))) * 1440 / COUNTIF(N$2:N231, "yes"), ""))</f>
        <v/>
      </c>
    </row>
    <row r="232" spans="18:21" x14ac:dyDescent="0.25">
      <c r="R232" s="2" t="str">
        <f t="shared" si="7"/>
        <v/>
      </c>
      <c r="S232" s="2" t="str" cm="1">
        <f t="array" aca="1" ref="S232" ca="1">IF(T232&lt;&gt;"", IFERROR((T232 - MAX(_xlfn._xlws.FILTER(T$2:T231, N$2:N231 = "yes"))) * 24 * 60, ""), "")</f>
        <v/>
      </c>
      <c r="T232" s="2" t="str">
        <f t="shared" ca="1" si="6"/>
        <v/>
      </c>
      <c r="U232" s="2" t="str" cm="1">
        <f t="array" ref="U232">IF(N232&lt;&gt;"yes", "", IFERROR((T232 - INDEX(T$2:T232, MATCH(TRUE, INDEX((T$2:T232&lt;&gt;"")*(N$2:N232="yes"), 0), 0))) * 1440 / COUNTIF(N$2:N232, "yes"), ""))</f>
        <v/>
      </c>
    </row>
    <row r="233" spans="18:21" x14ac:dyDescent="0.25">
      <c r="R233" s="2" t="str">
        <f t="shared" si="7"/>
        <v/>
      </c>
      <c r="S233" s="2" t="str" cm="1">
        <f t="array" aca="1" ref="S233" ca="1">IF(T233&lt;&gt;"", IFERROR((T233 - MAX(_xlfn._xlws.FILTER(T$2:T232, N$2:N232 = "yes"))) * 24 * 60, ""), "")</f>
        <v/>
      </c>
      <c r="T233" s="2" t="str">
        <f t="shared" ca="1" si="6"/>
        <v/>
      </c>
      <c r="U233" s="2" t="str" cm="1">
        <f t="array" ref="U233">IF(N233&lt;&gt;"yes", "", IFERROR((T233 - INDEX(T$2:T233, MATCH(TRUE, INDEX((T$2:T233&lt;&gt;"")*(N$2:N233="yes"), 0), 0))) * 1440 / COUNTIF(N$2:N233, "yes"), ""))</f>
        <v/>
      </c>
    </row>
    <row r="234" spans="18:21" x14ac:dyDescent="0.25">
      <c r="R234" s="2" t="str">
        <f t="shared" si="7"/>
        <v/>
      </c>
      <c r="S234" s="2" t="str" cm="1">
        <f t="array" aca="1" ref="S234" ca="1">IF(T234&lt;&gt;"", IFERROR((T234 - MAX(_xlfn._xlws.FILTER(T$2:T233, N$2:N233 = "yes"))) * 24 * 60, ""), "")</f>
        <v/>
      </c>
      <c r="T234" s="2" t="str">
        <f t="shared" ca="1" si="6"/>
        <v/>
      </c>
      <c r="U234" s="2" t="str" cm="1">
        <f t="array" ref="U234">IF(N234&lt;&gt;"yes", "", IFERROR((T234 - INDEX(T$2:T234, MATCH(TRUE, INDEX((T$2:T234&lt;&gt;"")*(N$2:N234="yes"), 0), 0))) * 1440 / COUNTIF(N$2:N234, "yes"), ""))</f>
        <v/>
      </c>
    </row>
    <row r="235" spans="18:21" x14ac:dyDescent="0.25">
      <c r="R235" s="2" t="str">
        <f t="shared" si="7"/>
        <v/>
      </c>
      <c r="S235" s="2" t="str" cm="1">
        <f t="array" aca="1" ref="S235" ca="1">IF(T235&lt;&gt;"", IFERROR((T235 - MAX(_xlfn._xlws.FILTER(T$2:T234, N$2:N234 = "yes"))) * 24 * 60, ""), "")</f>
        <v/>
      </c>
      <c r="T235" s="2" t="str">
        <f t="shared" ca="1" si="6"/>
        <v/>
      </c>
      <c r="U235" s="2" t="str" cm="1">
        <f t="array" ref="U235">IF(N235&lt;&gt;"yes", "", IFERROR((T235 - INDEX(T$2:T235, MATCH(TRUE, INDEX((T$2:T235&lt;&gt;"")*(N$2:N235="yes"), 0), 0))) * 1440 / COUNTIF(N$2:N235, "yes"), ""))</f>
        <v/>
      </c>
    </row>
    <row r="236" spans="18:21" x14ac:dyDescent="0.25">
      <c r="R236" s="2" t="str">
        <f t="shared" si="7"/>
        <v/>
      </c>
      <c r="S236" s="2" t="str" cm="1">
        <f t="array" aca="1" ref="S236" ca="1">IF(T236&lt;&gt;"", IFERROR((T236 - MAX(_xlfn._xlws.FILTER(T$2:T235, N$2:N235 = "yes"))) * 24 * 60, ""), "")</f>
        <v/>
      </c>
      <c r="T236" s="2" t="str">
        <f t="shared" ca="1" si="6"/>
        <v/>
      </c>
      <c r="U236" s="2" t="str" cm="1">
        <f t="array" ref="U236">IF(N236&lt;&gt;"yes", "", IFERROR((T236 - INDEX(T$2:T236, MATCH(TRUE, INDEX((T$2:T236&lt;&gt;"")*(N$2:N236="yes"), 0), 0))) * 1440 / COUNTIF(N$2:N236, "yes"), ""))</f>
        <v/>
      </c>
    </row>
    <row r="237" spans="18:21" x14ac:dyDescent="0.25">
      <c r="R237" s="2" t="str">
        <f t="shared" si="7"/>
        <v/>
      </c>
      <c r="S237" s="2" t="str" cm="1">
        <f t="array" aca="1" ref="S237" ca="1">IF(T237&lt;&gt;"", IFERROR((T237 - MAX(_xlfn._xlws.FILTER(T$2:T236, N$2:N236 = "yes"))) * 24 * 60, ""), "")</f>
        <v/>
      </c>
      <c r="T237" s="2" t="str">
        <f t="shared" ca="1" si="6"/>
        <v/>
      </c>
      <c r="U237" s="2" t="str" cm="1">
        <f t="array" ref="U237">IF(N237&lt;&gt;"yes", "", IFERROR((T237 - INDEX(T$2:T237, MATCH(TRUE, INDEX((T$2:T237&lt;&gt;"")*(N$2:N237="yes"), 0), 0))) * 1440 / COUNTIF(N$2:N237, "yes"), ""))</f>
        <v/>
      </c>
    </row>
    <row r="238" spans="18:21" x14ac:dyDescent="0.25">
      <c r="R238" s="2" t="str">
        <f t="shared" si="7"/>
        <v/>
      </c>
      <c r="S238" s="2" t="str" cm="1">
        <f t="array" aca="1" ref="S238" ca="1">IF(T238&lt;&gt;"", IFERROR((T238 - MAX(_xlfn._xlws.FILTER(T$2:T237, N$2:N237 = "yes"))) * 24 * 60, ""), "")</f>
        <v/>
      </c>
      <c r="T238" s="2" t="str">
        <f t="shared" ca="1" si="6"/>
        <v/>
      </c>
      <c r="U238" s="2" t="str" cm="1">
        <f t="array" ref="U238">IF(N238&lt;&gt;"yes", "", IFERROR((T238 - INDEX(T$2:T238, MATCH(TRUE, INDEX((T$2:T238&lt;&gt;"")*(N$2:N238="yes"), 0), 0))) * 1440 / COUNTIF(N$2:N238, "yes"), ""))</f>
        <v/>
      </c>
    </row>
    <row r="239" spans="18:21" x14ac:dyDescent="0.25">
      <c r="R239" s="2" t="str">
        <f t="shared" si="7"/>
        <v/>
      </c>
      <c r="S239" s="2" t="str" cm="1">
        <f t="array" aca="1" ref="S239" ca="1">IF(T239&lt;&gt;"", IFERROR((T239 - MAX(_xlfn._xlws.FILTER(T$2:T238, N$2:N238 = "yes"))) * 24 * 60, ""), "")</f>
        <v/>
      </c>
      <c r="T239" s="2" t="str">
        <f t="shared" ca="1" si="6"/>
        <v/>
      </c>
      <c r="U239" s="2" t="str" cm="1">
        <f t="array" ref="U239">IF(N239&lt;&gt;"yes", "", IFERROR((T239 - INDEX(T$2:T239, MATCH(TRUE, INDEX((T$2:T239&lt;&gt;"")*(N$2:N239="yes"), 0), 0))) * 1440 / COUNTIF(N$2:N239, "yes"), ""))</f>
        <v/>
      </c>
    </row>
    <row r="240" spans="18:21" x14ac:dyDescent="0.25">
      <c r="R240" s="2" t="str">
        <f t="shared" si="7"/>
        <v/>
      </c>
      <c r="S240" s="2" t="str" cm="1">
        <f t="array" aca="1" ref="S240" ca="1">IF(T240&lt;&gt;"", IFERROR((T240 - MAX(_xlfn._xlws.FILTER(T$2:T239, N$2:N239 = "yes"))) * 24 * 60, ""), "")</f>
        <v/>
      </c>
      <c r="T240" s="2" t="str">
        <f t="shared" ca="1" si="6"/>
        <v/>
      </c>
      <c r="U240" s="2" t="str" cm="1">
        <f t="array" ref="U240">IF(N240&lt;&gt;"yes", "", IFERROR((T240 - INDEX(T$2:T240, MATCH(TRUE, INDEX((T$2:T240&lt;&gt;"")*(N$2:N240="yes"), 0), 0))) * 1440 / COUNTIF(N$2:N240, "yes"), ""))</f>
        <v/>
      </c>
    </row>
    <row r="241" spans="18:21" x14ac:dyDescent="0.25">
      <c r="R241" s="2" t="str">
        <f t="shared" si="7"/>
        <v/>
      </c>
      <c r="S241" s="2" t="str" cm="1">
        <f t="array" aca="1" ref="S241" ca="1">IF(T241&lt;&gt;"", IFERROR((T241 - MAX(_xlfn._xlws.FILTER(T$2:T240, N$2:N240 = "yes"))) * 24 * 60, ""), "")</f>
        <v/>
      </c>
      <c r="T241" s="2" t="str">
        <f t="shared" ca="1" si="6"/>
        <v/>
      </c>
      <c r="U241" s="2" t="str" cm="1">
        <f t="array" ref="U241">IF(N241&lt;&gt;"yes", "", IFERROR((T241 - INDEX(T$2:T241, MATCH(TRUE, INDEX((T$2:T241&lt;&gt;"")*(N$2:N241="yes"), 0), 0))) * 1440 / COUNTIF(N$2:N241, "yes"), ""))</f>
        <v/>
      </c>
    </row>
    <row r="242" spans="18:21" x14ac:dyDescent="0.25">
      <c r="R242" s="2" t="str">
        <f t="shared" si="7"/>
        <v/>
      </c>
      <c r="S242" s="2" t="str" cm="1">
        <f t="array" aca="1" ref="S242" ca="1">IF(T242&lt;&gt;"", IFERROR((T242 - MAX(_xlfn._xlws.FILTER(T$2:T241, N$2:N241 = "yes"))) * 24 * 60, ""), "")</f>
        <v/>
      </c>
      <c r="T242" s="2" t="str">
        <f t="shared" ca="1" si="6"/>
        <v/>
      </c>
      <c r="U242" s="2" t="str" cm="1">
        <f t="array" ref="U242">IF(N242&lt;&gt;"yes", "", IFERROR((T242 - INDEX(T$2:T242, MATCH(TRUE, INDEX((T$2:T242&lt;&gt;"")*(N$2:N242="yes"), 0), 0))) * 1440 / COUNTIF(N$2:N242, "yes"), ""))</f>
        <v/>
      </c>
    </row>
    <row r="243" spans="18:21" x14ac:dyDescent="0.25">
      <c r="R243" s="2" t="str">
        <f t="shared" si="7"/>
        <v/>
      </c>
      <c r="S243" s="2" t="str" cm="1">
        <f t="array" aca="1" ref="S243" ca="1">IF(T243&lt;&gt;"", IFERROR((T243 - MAX(_xlfn._xlws.FILTER(T$2:T242, N$2:N242 = "yes"))) * 24 * 60, ""), "")</f>
        <v/>
      </c>
      <c r="T243" s="2" t="str">
        <f t="shared" ca="1" si="6"/>
        <v/>
      </c>
      <c r="U243" s="2" t="str" cm="1">
        <f t="array" ref="U243">IF(N243&lt;&gt;"yes", "", IFERROR((T243 - INDEX(T$2:T243, MATCH(TRUE, INDEX((T$2:T243&lt;&gt;"")*(N$2:N243="yes"), 0), 0))) * 1440 / COUNTIF(N$2:N243, "yes"), ""))</f>
        <v/>
      </c>
    </row>
    <row r="244" spans="18:21" x14ac:dyDescent="0.25">
      <c r="R244" s="2" t="str">
        <f t="shared" si="7"/>
        <v/>
      </c>
      <c r="S244" s="2" t="str" cm="1">
        <f t="array" aca="1" ref="S244" ca="1">IF(T244&lt;&gt;"", IFERROR((T244 - MAX(_xlfn._xlws.FILTER(T$2:T243, N$2:N243 = "yes"))) * 24 * 60, ""), "")</f>
        <v/>
      </c>
      <c r="T244" s="2" t="str">
        <f t="shared" ca="1" si="6"/>
        <v/>
      </c>
      <c r="U244" s="2" t="str" cm="1">
        <f t="array" ref="U244">IF(N244&lt;&gt;"yes", "", IFERROR((T244 - INDEX(T$2:T244, MATCH(TRUE, INDEX((T$2:T244&lt;&gt;"")*(N$2:N244="yes"), 0), 0))) * 1440 / COUNTIF(N$2:N244, "yes"), ""))</f>
        <v/>
      </c>
    </row>
    <row r="245" spans="18:21" x14ac:dyDescent="0.25">
      <c r="R245" s="2" t="str">
        <f t="shared" si="7"/>
        <v/>
      </c>
      <c r="S245" s="2" t="str" cm="1">
        <f t="array" aca="1" ref="S245" ca="1">IF(T245&lt;&gt;"", IFERROR((T245 - MAX(_xlfn._xlws.FILTER(T$2:T244, N$2:N244 = "yes"))) * 24 * 60, ""), "")</f>
        <v/>
      </c>
      <c r="T245" s="2" t="str">
        <f t="shared" ca="1" si="6"/>
        <v/>
      </c>
      <c r="U245" s="2" t="str" cm="1">
        <f t="array" ref="U245">IF(N245&lt;&gt;"yes", "", IFERROR((T245 - INDEX(T$2:T245, MATCH(TRUE, INDEX((T$2:T245&lt;&gt;"")*(N$2:N245="yes"), 0), 0))) * 1440 / COUNTIF(N$2:N245, "yes"), ""))</f>
        <v/>
      </c>
    </row>
    <row r="246" spans="18:21" x14ac:dyDescent="0.25">
      <c r="R246" s="2" t="str">
        <f t="shared" si="7"/>
        <v/>
      </c>
      <c r="S246" s="2" t="str" cm="1">
        <f t="array" aca="1" ref="S246" ca="1">IF(T246&lt;&gt;"", IFERROR((T246 - MAX(_xlfn._xlws.FILTER(T$2:T245, N$2:N245 = "yes"))) * 24 * 60, ""), "")</f>
        <v/>
      </c>
      <c r="T246" s="2" t="str">
        <f t="shared" ca="1" si="6"/>
        <v/>
      </c>
      <c r="U246" s="2" t="str" cm="1">
        <f t="array" ref="U246">IF(N246&lt;&gt;"yes", "", IFERROR((T246 - INDEX(T$2:T246, MATCH(TRUE, INDEX((T$2:T246&lt;&gt;"")*(N$2:N246="yes"), 0), 0))) * 1440 / COUNTIF(N$2:N246, "yes"), ""))</f>
        <v/>
      </c>
    </row>
    <row r="247" spans="18:21" x14ac:dyDescent="0.25">
      <c r="R247" s="2" t="str">
        <f t="shared" si="7"/>
        <v/>
      </c>
      <c r="S247" s="2" t="str" cm="1">
        <f t="array" aca="1" ref="S247" ca="1">IF(T247&lt;&gt;"", IFERROR((T247 - MAX(_xlfn._xlws.FILTER(T$2:T246, N$2:N246 = "yes"))) * 24 * 60, ""), "")</f>
        <v/>
      </c>
      <c r="T247" s="2" t="str">
        <f t="shared" ca="1" si="6"/>
        <v/>
      </c>
      <c r="U247" s="2" t="str" cm="1">
        <f t="array" ref="U247">IF(N247&lt;&gt;"yes", "", IFERROR((T247 - INDEX(T$2:T247, MATCH(TRUE, INDEX((T$2:T247&lt;&gt;"")*(N$2:N247="yes"), 0), 0))) * 1440 / COUNTIF(N$2:N247, "yes"), ""))</f>
        <v/>
      </c>
    </row>
    <row r="248" spans="18:21" x14ac:dyDescent="0.25">
      <c r="R248" s="2" t="str">
        <f t="shared" si="7"/>
        <v/>
      </c>
      <c r="S248" s="2" t="str" cm="1">
        <f t="array" aca="1" ref="S248" ca="1">IF(T248&lt;&gt;"", IFERROR((T248 - MAX(_xlfn._xlws.FILTER(T$2:T247, N$2:N247 = "yes"))) * 24 * 60, ""), "")</f>
        <v/>
      </c>
      <c r="T248" s="2" t="str">
        <f t="shared" ca="1" si="6"/>
        <v/>
      </c>
      <c r="U248" s="2" t="str" cm="1">
        <f t="array" ref="U248">IF(N248&lt;&gt;"yes", "", IFERROR((T248 - INDEX(T$2:T248, MATCH(TRUE, INDEX((T$2:T248&lt;&gt;"")*(N$2:N248="yes"), 0), 0))) * 1440 / COUNTIF(N$2:N248, "yes"), ""))</f>
        <v/>
      </c>
    </row>
    <row r="249" spans="18:21" x14ac:dyDescent="0.25">
      <c r="R249" s="2" t="str">
        <f t="shared" si="7"/>
        <v/>
      </c>
      <c r="S249" s="2" t="str" cm="1">
        <f t="array" aca="1" ref="S249" ca="1">IF(T249&lt;&gt;"", IFERROR((T249 - MAX(_xlfn._xlws.FILTER(T$2:T248, N$2:N248 = "yes"))) * 24 * 60, ""), "")</f>
        <v/>
      </c>
      <c r="T249" s="2" t="str">
        <f t="shared" ca="1" si="6"/>
        <v/>
      </c>
      <c r="U249" s="2" t="str" cm="1">
        <f t="array" ref="U249">IF(N249&lt;&gt;"yes", "", IFERROR((T249 - INDEX(T$2:T249, MATCH(TRUE, INDEX((T$2:T249&lt;&gt;"")*(N$2:N249="yes"), 0), 0))) * 1440 / COUNTIF(N$2:N249, "yes"), ""))</f>
        <v/>
      </c>
    </row>
    <row r="250" spans="18:21" x14ac:dyDescent="0.25">
      <c r="R250" s="2" t="str">
        <f t="shared" si="7"/>
        <v/>
      </c>
      <c r="S250" s="2" t="str" cm="1">
        <f t="array" aca="1" ref="S250" ca="1">IF(T250&lt;&gt;"", IFERROR((T250 - MAX(_xlfn._xlws.FILTER(T$2:T249, N$2:N249 = "yes"))) * 24 * 60, ""), "")</f>
        <v/>
      </c>
      <c r="T250" s="2" t="str">
        <f t="shared" ca="1" si="6"/>
        <v/>
      </c>
      <c r="U250" s="2" t="str" cm="1">
        <f t="array" ref="U250">IF(N250&lt;&gt;"yes", "", IFERROR((T250 - INDEX(T$2:T250, MATCH(TRUE, INDEX((T$2:T250&lt;&gt;"")*(N$2:N250="yes"), 0), 0))) * 1440 / COUNTIF(N$2:N250, "yes"), ""))</f>
        <v/>
      </c>
    </row>
    <row r="251" spans="18:21" x14ac:dyDescent="0.25">
      <c r="R251" s="2" t="str">
        <f t="shared" si="7"/>
        <v/>
      </c>
      <c r="S251" s="2" t="str" cm="1">
        <f t="array" aca="1" ref="S251" ca="1">IF(T251&lt;&gt;"", IFERROR((T251 - MAX(_xlfn._xlws.FILTER(T$2:T250, N$2:N250 = "yes"))) * 24 * 60, ""), "")</f>
        <v/>
      </c>
      <c r="T251" s="2" t="str">
        <f t="shared" ca="1" si="6"/>
        <v/>
      </c>
      <c r="U251" s="2" t="str" cm="1">
        <f t="array" ref="U251">IF(N251&lt;&gt;"yes", "", IFERROR((T251 - INDEX(T$2:T251, MATCH(TRUE, INDEX((T$2:T251&lt;&gt;"")*(N$2:N251="yes"), 0), 0))) * 1440 / COUNTIF(N$2:N251, "yes"), ""))</f>
        <v/>
      </c>
    </row>
    <row r="252" spans="18:21" x14ac:dyDescent="0.25">
      <c r="R252" s="2" t="str">
        <f t="shared" si="7"/>
        <v/>
      </c>
      <c r="S252" s="2" t="str" cm="1">
        <f t="array" aca="1" ref="S252" ca="1">IF(T252&lt;&gt;"", IFERROR((T252 - MAX(_xlfn._xlws.FILTER(T$2:T251, N$2:N251 = "yes"))) * 24 * 60, ""), "")</f>
        <v/>
      </c>
      <c r="T252" s="2" t="str">
        <f t="shared" ca="1" si="6"/>
        <v/>
      </c>
      <c r="U252" s="2" t="str" cm="1">
        <f t="array" ref="U252">IF(N252&lt;&gt;"yes", "", IFERROR((T252 - INDEX(T$2:T252, MATCH(TRUE, INDEX((T$2:T252&lt;&gt;"")*(N$2:N252="yes"), 0), 0))) * 1440 / COUNTIF(N$2:N252, "yes"), ""))</f>
        <v/>
      </c>
    </row>
    <row r="253" spans="18:21" x14ac:dyDescent="0.25">
      <c r="R253" s="2" t="str">
        <f t="shared" si="7"/>
        <v/>
      </c>
      <c r="S253" s="2" t="str" cm="1">
        <f t="array" aca="1" ref="S253" ca="1">IF(T253&lt;&gt;"", IFERROR((T253 - MAX(_xlfn._xlws.FILTER(T$2:T252, N$2:N252 = "yes"))) * 24 * 60, ""), "")</f>
        <v/>
      </c>
      <c r="T253" s="2" t="str">
        <f t="shared" ca="1" si="6"/>
        <v/>
      </c>
      <c r="U253" s="2" t="str" cm="1">
        <f t="array" ref="U253">IF(N253&lt;&gt;"yes", "", IFERROR((T253 - INDEX(T$2:T253, MATCH(TRUE, INDEX((T$2:T253&lt;&gt;"")*(N$2:N253="yes"), 0), 0))) * 1440 / COUNTIF(N$2:N253, "yes"), ""))</f>
        <v/>
      </c>
    </row>
    <row r="254" spans="18:21" x14ac:dyDescent="0.25">
      <c r="R254" s="2" t="str">
        <f t="shared" si="7"/>
        <v/>
      </c>
      <c r="S254" s="2" t="str" cm="1">
        <f t="array" aca="1" ref="S254" ca="1">IF(T254&lt;&gt;"", IFERROR((T254 - MAX(_xlfn._xlws.FILTER(T$2:T253, N$2:N253 = "yes"))) * 24 * 60, ""), "")</f>
        <v/>
      </c>
      <c r="T254" s="2" t="str">
        <f t="shared" ca="1" si="6"/>
        <v/>
      </c>
      <c r="U254" s="2" t="str" cm="1">
        <f t="array" ref="U254">IF(N254&lt;&gt;"yes", "", IFERROR((T254 - INDEX(T$2:T254, MATCH(TRUE, INDEX((T$2:T254&lt;&gt;"")*(N$2:N254="yes"), 0), 0))) * 1440 / COUNTIF(N$2:N254, "yes"), ""))</f>
        <v/>
      </c>
    </row>
    <row r="255" spans="18:21" x14ac:dyDescent="0.25">
      <c r="R255" s="2" t="str">
        <f t="shared" si="7"/>
        <v/>
      </c>
      <c r="S255" s="2" t="str" cm="1">
        <f t="array" aca="1" ref="S255" ca="1">IF(T255&lt;&gt;"", IFERROR((T255 - MAX(_xlfn._xlws.FILTER(T$2:T254, N$2:N254 = "yes"))) * 24 * 60, ""), "")</f>
        <v/>
      </c>
      <c r="T255" s="2" t="str">
        <f t="shared" ca="1" si="6"/>
        <v/>
      </c>
      <c r="U255" s="2" t="str" cm="1">
        <f t="array" ref="U255">IF(N255&lt;&gt;"yes", "", IFERROR((T255 - INDEX(T$2:T255, MATCH(TRUE, INDEX((T$2:T255&lt;&gt;"")*(N$2:N255="yes"), 0), 0))) * 1440 / COUNTIF(N$2:N255, "yes"), ""))</f>
        <v/>
      </c>
    </row>
    <row r="256" spans="18:21" x14ac:dyDescent="0.25">
      <c r="R256" s="2" t="str">
        <f t="shared" si="7"/>
        <v/>
      </c>
      <c r="S256" s="2" t="str" cm="1">
        <f t="array" aca="1" ref="S256" ca="1">IF(T256&lt;&gt;"", IFERROR((T256 - MAX(_xlfn._xlws.FILTER(T$2:T255, N$2:N255 = "yes"))) * 24 * 60, ""), "")</f>
        <v/>
      </c>
      <c r="T256" s="2" t="str">
        <f t="shared" ca="1" si="6"/>
        <v/>
      </c>
      <c r="U256" s="2" t="str" cm="1">
        <f t="array" ref="U256">IF(N256&lt;&gt;"yes", "", IFERROR((T256 - INDEX(T$2:T256, MATCH(TRUE, INDEX((T$2:T256&lt;&gt;"")*(N$2:N256="yes"), 0), 0))) * 1440 / COUNTIF(N$2:N256, "yes"), ""))</f>
        <v/>
      </c>
    </row>
    <row r="257" spans="18:21" x14ac:dyDescent="0.25">
      <c r="R257" s="2" t="str">
        <f t="shared" si="7"/>
        <v/>
      </c>
      <c r="S257" s="2" t="str" cm="1">
        <f t="array" aca="1" ref="S257" ca="1">IF(T257&lt;&gt;"", IFERROR((T257 - MAX(_xlfn._xlws.FILTER(T$2:T256, N$2:N256 = "yes"))) * 24 * 60, ""), "")</f>
        <v/>
      </c>
      <c r="T257" s="2" t="str">
        <f t="shared" ca="1" si="6"/>
        <v/>
      </c>
      <c r="U257" s="2" t="str" cm="1">
        <f t="array" ref="U257">IF(N257&lt;&gt;"yes", "", IFERROR((T257 - INDEX(T$2:T257, MATCH(TRUE, INDEX((T$2:T257&lt;&gt;"")*(N$2:N257="yes"), 0), 0))) * 1440 / COUNTIF(N$2:N257, "yes"), ""))</f>
        <v/>
      </c>
    </row>
    <row r="258" spans="18:21" x14ac:dyDescent="0.25">
      <c r="R258" s="2" t="str">
        <f t="shared" si="7"/>
        <v/>
      </c>
      <c r="S258" s="2" t="str" cm="1">
        <f t="array" aca="1" ref="S258" ca="1">IF(T258&lt;&gt;"", IFERROR((T258 - MAX(_xlfn._xlws.FILTER(T$2:T257, N$2:N257 = "yes"))) * 24 * 60, ""), "")</f>
        <v/>
      </c>
      <c r="T258" s="2" t="str">
        <f t="shared" ref="T258:T321" ca="1" si="8">IF(N258="yes", NOW(), "")</f>
        <v/>
      </c>
      <c r="U258" s="2" t="str" cm="1">
        <f t="array" ref="U258">IF(N258&lt;&gt;"yes", "", IFERROR((T258 - INDEX(T$2:T258, MATCH(TRUE, INDEX((T$2:T258&lt;&gt;"")*(N$2:N258="yes"), 0), 0))) * 1440 / COUNTIF(N$2:N258, "yes"), ""))</f>
        <v/>
      </c>
    </row>
    <row r="259" spans="18:21" x14ac:dyDescent="0.25">
      <c r="R259" s="2" t="str">
        <f t="shared" si="7"/>
        <v/>
      </c>
      <c r="S259" s="2" t="str" cm="1">
        <f t="array" aca="1" ref="S259" ca="1">IF(T259&lt;&gt;"", IFERROR((T259 - MAX(_xlfn._xlws.FILTER(T$2:T258, N$2:N258 = "yes"))) * 24 * 60, ""), "")</f>
        <v/>
      </c>
      <c r="T259" s="2" t="str">
        <f t="shared" ca="1" si="8"/>
        <v/>
      </c>
      <c r="U259" s="2" t="str" cm="1">
        <f t="array" ref="U259">IF(N259&lt;&gt;"yes", "", IFERROR((T259 - INDEX(T$2:T259, MATCH(TRUE, INDEX((T$2:T259&lt;&gt;"")*(N$2:N259="yes"), 0), 0))) * 1440 / COUNTIF(N$2:N259, "yes"), ""))</f>
        <v/>
      </c>
    </row>
    <row r="260" spans="18:21" x14ac:dyDescent="0.25">
      <c r="R260" s="2" t="str">
        <f t="shared" ref="R260:R323" si="9">IF(AND(ISNUMBER(P260), ISNUMBER(Q260)), (Q260 - P260) * 24 * 60, "")</f>
        <v/>
      </c>
      <c r="S260" s="2" t="str" cm="1">
        <f t="array" aca="1" ref="S260" ca="1">IF(T260&lt;&gt;"", IFERROR((T260 - MAX(_xlfn._xlws.FILTER(T$2:T259, N$2:N259 = "yes"))) * 24 * 60, ""), "")</f>
        <v/>
      </c>
      <c r="T260" s="2" t="str">
        <f t="shared" ca="1" si="8"/>
        <v/>
      </c>
      <c r="U260" s="2" t="str" cm="1">
        <f t="array" ref="U260">IF(N260&lt;&gt;"yes", "", IFERROR((T260 - INDEX(T$2:T260, MATCH(TRUE, INDEX((T$2:T260&lt;&gt;"")*(N$2:N260="yes"), 0), 0))) * 1440 / COUNTIF(N$2:N260, "yes"), ""))</f>
        <v/>
      </c>
    </row>
    <row r="261" spans="18:21" x14ac:dyDescent="0.25">
      <c r="R261" s="2" t="str">
        <f t="shared" si="9"/>
        <v/>
      </c>
      <c r="S261" s="2" t="str" cm="1">
        <f t="array" aca="1" ref="S261" ca="1">IF(T261&lt;&gt;"", IFERROR((T261 - MAX(_xlfn._xlws.FILTER(T$2:T260, N$2:N260 = "yes"))) * 24 * 60, ""), "")</f>
        <v/>
      </c>
      <c r="T261" s="2" t="str">
        <f t="shared" ca="1" si="8"/>
        <v/>
      </c>
      <c r="U261" s="2" t="str" cm="1">
        <f t="array" ref="U261">IF(N261&lt;&gt;"yes", "", IFERROR((T261 - INDEX(T$2:T261, MATCH(TRUE, INDEX((T$2:T261&lt;&gt;"")*(N$2:N261="yes"), 0), 0))) * 1440 / COUNTIF(N$2:N261, "yes"), ""))</f>
        <v/>
      </c>
    </row>
    <row r="262" spans="18:21" x14ac:dyDescent="0.25">
      <c r="R262" s="2" t="str">
        <f t="shared" si="9"/>
        <v/>
      </c>
      <c r="S262" s="2" t="str" cm="1">
        <f t="array" aca="1" ref="S262" ca="1">IF(T262&lt;&gt;"", IFERROR((T262 - MAX(_xlfn._xlws.FILTER(T$2:T261, N$2:N261 = "yes"))) * 24 * 60, ""), "")</f>
        <v/>
      </c>
      <c r="T262" s="2" t="str">
        <f t="shared" ca="1" si="8"/>
        <v/>
      </c>
      <c r="U262" s="2" t="str" cm="1">
        <f t="array" ref="U262">IF(N262&lt;&gt;"yes", "", IFERROR((T262 - INDEX(T$2:T262, MATCH(TRUE, INDEX((T$2:T262&lt;&gt;"")*(N$2:N262="yes"), 0), 0))) * 1440 / COUNTIF(N$2:N262, "yes"), ""))</f>
        <v/>
      </c>
    </row>
    <row r="263" spans="18:21" x14ac:dyDescent="0.25">
      <c r="R263" s="2" t="str">
        <f t="shared" si="9"/>
        <v/>
      </c>
      <c r="S263" s="2" t="str" cm="1">
        <f t="array" aca="1" ref="S263" ca="1">IF(T263&lt;&gt;"", IFERROR((T263 - MAX(_xlfn._xlws.FILTER(T$2:T262, N$2:N262 = "yes"))) * 24 * 60, ""), "")</f>
        <v/>
      </c>
      <c r="T263" s="2" t="str">
        <f t="shared" ca="1" si="8"/>
        <v/>
      </c>
      <c r="U263" s="2" t="str" cm="1">
        <f t="array" ref="U263">IF(N263&lt;&gt;"yes", "", IFERROR((T263 - INDEX(T$2:T263, MATCH(TRUE, INDEX((T$2:T263&lt;&gt;"")*(N$2:N263="yes"), 0), 0))) * 1440 / COUNTIF(N$2:N263, "yes"), ""))</f>
        <v/>
      </c>
    </row>
    <row r="264" spans="18:21" x14ac:dyDescent="0.25">
      <c r="R264" s="2" t="str">
        <f t="shared" si="9"/>
        <v/>
      </c>
      <c r="S264" s="2" t="str" cm="1">
        <f t="array" aca="1" ref="S264" ca="1">IF(T264&lt;&gt;"", IFERROR((T264 - MAX(_xlfn._xlws.FILTER(T$2:T263, N$2:N263 = "yes"))) * 24 * 60, ""), "")</f>
        <v/>
      </c>
      <c r="T264" s="2" t="str">
        <f t="shared" ca="1" si="8"/>
        <v/>
      </c>
      <c r="U264" s="2" t="str" cm="1">
        <f t="array" ref="U264">IF(N264&lt;&gt;"yes", "", IFERROR((T264 - INDEX(T$2:T264, MATCH(TRUE, INDEX((T$2:T264&lt;&gt;"")*(N$2:N264="yes"), 0), 0))) * 1440 / COUNTIF(N$2:N264, "yes"), ""))</f>
        <v/>
      </c>
    </row>
    <row r="265" spans="18:21" x14ac:dyDescent="0.25">
      <c r="R265" s="2" t="str">
        <f t="shared" si="9"/>
        <v/>
      </c>
      <c r="S265" s="2" t="str" cm="1">
        <f t="array" aca="1" ref="S265" ca="1">IF(T265&lt;&gt;"", IFERROR((T265 - MAX(_xlfn._xlws.FILTER(T$2:T264, N$2:N264 = "yes"))) * 24 * 60, ""), "")</f>
        <v/>
      </c>
      <c r="T265" s="2" t="str">
        <f t="shared" ca="1" si="8"/>
        <v/>
      </c>
      <c r="U265" s="2" t="str" cm="1">
        <f t="array" ref="U265">IF(N265&lt;&gt;"yes", "", IFERROR((T265 - INDEX(T$2:T265, MATCH(TRUE, INDEX((T$2:T265&lt;&gt;"")*(N$2:N265="yes"), 0), 0))) * 1440 / COUNTIF(N$2:N265, "yes"), ""))</f>
        <v/>
      </c>
    </row>
    <row r="266" spans="18:21" x14ac:dyDescent="0.25">
      <c r="R266" s="2" t="str">
        <f t="shared" si="9"/>
        <v/>
      </c>
      <c r="S266" s="2" t="str" cm="1">
        <f t="array" aca="1" ref="S266" ca="1">IF(T266&lt;&gt;"", IFERROR((T266 - MAX(_xlfn._xlws.FILTER(T$2:T265, N$2:N265 = "yes"))) * 24 * 60, ""), "")</f>
        <v/>
      </c>
      <c r="T266" s="2" t="str">
        <f t="shared" ca="1" si="8"/>
        <v/>
      </c>
      <c r="U266" s="2" t="str" cm="1">
        <f t="array" ref="U266">IF(N266&lt;&gt;"yes", "", IFERROR((T266 - INDEX(T$2:T266, MATCH(TRUE, INDEX((T$2:T266&lt;&gt;"")*(N$2:N266="yes"), 0), 0))) * 1440 / COUNTIF(N$2:N266, "yes"), ""))</f>
        <v/>
      </c>
    </row>
    <row r="267" spans="18:21" x14ac:dyDescent="0.25">
      <c r="R267" s="2" t="str">
        <f t="shared" si="9"/>
        <v/>
      </c>
      <c r="S267" s="2" t="str" cm="1">
        <f t="array" aca="1" ref="S267" ca="1">IF(T267&lt;&gt;"", IFERROR((T267 - MAX(_xlfn._xlws.FILTER(T$2:T266, N$2:N266 = "yes"))) * 24 * 60, ""), "")</f>
        <v/>
      </c>
      <c r="T267" s="2" t="str">
        <f t="shared" ca="1" si="8"/>
        <v/>
      </c>
      <c r="U267" s="2" t="str" cm="1">
        <f t="array" ref="U267">IF(N267&lt;&gt;"yes", "", IFERROR((T267 - INDEX(T$2:T267, MATCH(TRUE, INDEX((T$2:T267&lt;&gt;"")*(N$2:N267="yes"), 0), 0))) * 1440 / COUNTIF(N$2:N267, "yes"), ""))</f>
        <v/>
      </c>
    </row>
    <row r="268" spans="18:21" x14ac:dyDescent="0.25">
      <c r="R268" s="2" t="str">
        <f t="shared" si="9"/>
        <v/>
      </c>
      <c r="S268" s="2" t="str" cm="1">
        <f t="array" aca="1" ref="S268" ca="1">IF(T268&lt;&gt;"", IFERROR((T268 - MAX(_xlfn._xlws.FILTER(T$2:T267, N$2:N267 = "yes"))) * 24 * 60, ""), "")</f>
        <v/>
      </c>
      <c r="T268" s="2" t="str">
        <f t="shared" ca="1" si="8"/>
        <v/>
      </c>
      <c r="U268" s="2" t="str" cm="1">
        <f t="array" ref="U268">IF(N268&lt;&gt;"yes", "", IFERROR((T268 - INDEX(T$2:T268, MATCH(TRUE, INDEX((T$2:T268&lt;&gt;"")*(N$2:N268="yes"), 0), 0))) * 1440 / COUNTIF(N$2:N268, "yes"), ""))</f>
        <v/>
      </c>
    </row>
    <row r="269" spans="18:21" x14ac:dyDescent="0.25">
      <c r="R269" s="2" t="str">
        <f t="shared" si="9"/>
        <v/>
      </c>
      <c r="S269" s="2" t="str" cm="1">
        <f t="array" aca="1" ref="S269" ca="1">IF(T269&lt;&gt;"", IFERROR((T269 - MAX(_xlfn._xlws.FILTER(T$2:T268, N$2:N268 = "yes"))) * 24 * 60, ""), "")</f>
        <v/>
      </c>
      <c r="T269" s="2" t="str">
        <f t="shared" ca="1" si="8"/>
        <v/>
      </c>
      <c r="U269" s="2" t="str" cm="1">
        <f t="array" ref="U269">IF(N269&lt;&gt;"yes", "", IFERROR((T269 - INDEX(T$2:T269, MATCH(TRUE, INDEX((T$2:T269&lt;&gt;"")*(N$2:N269="yes"), 0), 0))) * 1440 / COUNTIF(N$2:N269, "yes"), ""))</f>
        <v/>
      </c>
    </row>
    <row r="270" spans="18:21" x14ac:dyDescent="0.25">
      <c r="R270" s="2" t="str">
        <f t="shared" si="9"/>
        <v/>
      </c>
      <c r="S270" s="2" t="str" cm="1">
        <f t="array" aca="1" ref="S270" ca="1">IF(T270&lt;&gt;"", IFERROR((T270 - MAX(_xlfn._xlws.FILTER(T$2:T269, N$2:N269 = "yes"))) * 24 * 60, ""), "")</f>
        <v/>
      </c>
      <c r="T270" s="2" t="str">
        <f t="shared" ca="1" si="8"/>
        <v/>
      </c>
      <c r="U270" s="2" t="str" cm="1">
        <f t="array" ref="U270">IF(N270&lt;&gt;"yes", "", IFERROR((T270 - INDEX(T$2:T270, MATCH(TRUE, INDEX((T$2:T270&lt;&gt;"")*(N$2:N270="yes"), 0), 0))) * 1440 / COUNTIF(N$2:N270, "yes"), ""))</f>
        <v/>
      </c>
    </row>
    <row r="271" spans="18:21" x14ac:dyDescent="0.25">
      <c r="R271" s="2" t="str">
        <f t="shared" si="9"/>
        <v/>
      </c>
      <c r="S271" s="2" t="str" cm="1">
        <f t="array" aca="1" ref="S271" ca="1">IF(T271&lt;&gt;"", IFERROR((T271 - MAX(_xlfn._xlws.FILTER(T$2:T270, N$2:N270 = "yes"))) * 24 * 60, ""), "")</f>
        <v/>
      </c>
      <c r="T271" s="2" t="str">
        <f t="shared" ca="1" si="8"/>
        <v/>
      </c>
      <c r="U271" s="2" t="str" cm="1">
        <f t="array" ref="U271">IF(N271&lt;&gt;"yes", "", IFERROR((T271 - INDEX(T$2:T271, MATCH(TRUE, INDEX((T$2:T271&lt;&gt;"")*(N$2:N271="yes"), 0), 0))) * 1440 / COUNTIF(N$2:N271, "yes"), ""))</f>
        <v/>
      </c>
    </row>
    <row r="272" spans="18:21" x14ac:dyDescent="0.25">
      <c r="R272" s="2" t="str">
        <f t="shared" si="9"/>
        <v/>
      </c>
      <c r="S272" s="2" t="str" cm="1">
        <f t="array" aca="1" ref="S272" ca="1">IF(T272&lt;&gt;"", IFERROR((T272 - MAX(_xlfn._xlws.FILTER(T$2:T271, N$2:N271 = "yes"))) * 24 * 60, ""), "")</f>
        <v/>
      </c>
      <c r="T272" s="2" t="str">
        <f t="shared" ca="1" si="8"/>
        <v/>
      </c>
      <c r="U272" s="2" t="str" cm="1">
        <f t="array" ref="U272">IF(N272&lt;&gt;"yes", "", IFERROR((T272 - INDEX(T$2:T272, MATCH(TRUE, INDEX((T$2:T272&lt;&gt;"")*(N$2:N272="yes"), 0), 0))) * 1440 / COUNTIF(N$2:N272, "yes"), ""))</f>
        <v/>
      </c>
    </row>
    <row r="273" spans="18:21" x14ac:dyDescent="0.25">
      <c r="R273" s="2" t="str">
        <f t="shared" si="9"/>
        <v/>
      </c>
      <c r="S273" s="2" t="str" cm="1">
        <f t="array" aca="1" ref="S273" ca="1">IF(T273&lt;&gt;"", IFERROR((T273 - MAX(_xlfn._xlws.FILTER(T$2:T272, N$2:N272 = "yes"))) * 24 * 60, ""), "")</f>
        <v/>
      </c>
      <c r="T273" s="2" t="str">
        <f t="shared" ca="1" si="8"/>
        <v/>
      </c>
      <c r="U273" s="2" t="str" cm="1">
        <f t="array" ref="U273">IF(N273&lt;&gt;"yes", "", IFERROR((T273 - INDEX(T$2:T273, MATCH(TRUE, INDEX((T$2:T273&lt;&gt;"")*(N$2:N273="yes"), 0), 0))) * 1440 / COUNTIF(N$2:N273, "yes"), ""))</f>
        <v/>
      </c>
    </row>
    <row r="274" spans="18:21" x14ac:dyDescent="0.25">
      <c r="R274" s="2" t="str">
        <f t="shared" si="9"/>
        <v/>
      </c>
      <c r="S274" s="2" t="str" cm="1">
        <f t="array" aca="1" ref="S274" ca="1">IF(T274&lt;&gt;"", IFERROR((T274 - MAX(_xlfn._xlws.FILTER(T$2:T273, N$2:N273 = "yes"))) * 24 * 60, ""), "")</f>
        <v/>
      </c>
      <c r="T274" s="2" t="str">
        <f t="shared" ca="1" si="8"/>
        <v/>
      </c>
      <c r="U274" s="2" t="str" cm="1">
        <f t="array" ref="U274">IF(N274&lt;&gt;"yes", "", IFERROR((T274 - INDEX(T$2:T274, MATCH(TRUE, INDEX((T$2:T274&lt;&gt;"")*(N$2:N274="yes"), 0), 0))) * 1440 / COUNTIF(N$2:N274, "yes"), ""))</f>
        <v/>
      </c>
    </row>
    <row r="275" spans="18:21" x14ac:dyDescent="0.25">
      <c r="R275" s="2" t="str">
        <f t="shared" si="9"/>
        <v/>
      </c>
      <c r="S275" s="2" t="str" cm="1">
        <f t="array" aca="1" ref="S275" ca="1">IF(T275&lt;&gt;"", IFERROR((T275 - MAX(_xlfn._xlws.FILTER(T$2:T274, N$2:N274 = "yes"))) * 24 * 60, ""), "")</f>
        <v/>
      </c>
      <c r="T275" s="2" t="str">
        <f t="shared" ca="1" si="8"/>
        <v/>
      </c>
      <c r="U275" s="2" t="str" cm="1">
        <f t="array" ref="U275">IF(N275&lt;&gt;"yes", "", IFERROR((T275 - INDEX(T$2:T275, MATCH(TRUE, INDEX((T$2:T275&lt;&gt;"")*(N$2:N275="yes"), 0), 0))) * 1440 / COUNTIF(N$2:N275, "yes"), ""))</f>
        <v/>
      </c>
    </row>
    <row r="276" spans="18:21" x14ac:dyDescent="0.25">
      <c r="R276" s="2" t="str">
        <f t="shared" si="9"/>
        <v/>
      </c>
      <c r="S276" s="2" t="str" cm="1">
        <f t="array" aca="1" ref="S276" ca="1">IF(T276&lt;&gt;"", IFERROR((T276 - MAX(_xlfn._xlws.FILTER(T$2:T275, N$2:N275 = "yes"))) * 24 * 60, ""), "")</f>
        <v/>
      </c>
      <c r="T276" s="2" t="str">
        <f t="shared" ca="1" si="8"/>
        <v/>
      </c>
      <c r="U276" s="2" t="str" cm="1">
        <f t="array" ref="U276">IF(N276&lt;&gt;"yes", "", IFERROR((T276 - INDEX(T$2:T276, MATCH(TRUE, INDEX((T$2:T276&lt;&gt;"")*(N$2:N276="yes"), 0), 0))) * 1440 / COUNTIF(N$2:N276, "yes"), ""))</f>
        <v/>
      </c>
    </row>
    <row r="277" spans="18:21" x14ac:dyDescent="0.25">
      <c r="R277" s="2" t="str">
        <f t="shared" si="9"/>
        <v/>
      </c>
      <c r="S277" s="2" t="str" cm="1">
        <f t="array" aca="1" ref="S277" ca="1">IF(T277&lt;&gt;"", IFERROR((T277 - MAX(_xlfn._xlws.FILTER(T$2:T276, N$2:N276 = "yes"))) * 24 * 60, ""), "")</f>
        <v/>
      </c>
      <c r="T277" s="2" t="str">
        <f t="shared" ca="1" si="8"/>
        <v/>
      </c>
      <c r="U277" s="2" t="str" cm="1">
        <f t="array" ref="U277">IF(N277&lt;&gt;"yes", "", IFERROR((T277 - INDEX(T$2:T277, MATCH(TRUE, INDEX((T$2:T277&lt;&gt;"")*(N$2:N277="yes"), 0), 0))) * 1440 / COUNTIF(N$2:N277, "yes"), ""))</f>
        <v/>
      </c>
    </row>
    <row r="278" spans="18:21" x14ac:dyDescent="0.25">
      <c r="R278" s="2" t="str">
        <f t="shared" si="9"/>
        <v/>
      </c>
      <c r="S278" s="2" t="str" cm="1">
        <f t="array" aca="1" ref="S278" ca="1">IF(T278&lt;&gt;"", IFERROR((T278 - MAX(_xlfn._xlws.FILTER(T$2:T277, N$2:N277 = "yes"))) * 24 * 60, ""), "")</f>
        <v/>
      </c>
      <c r="T278" s="2" t="str">
        <f t="shared" ca="1" si="8"/>
        <v/>
      </c>
      <c r="U278" s="2" t="str" cm="1">
        <f t="array" ref="U278">IF(N278&lt;&gt;"yes", "", IFERROR((T278 - INDEX(T$2:T278, MATCH(TRUE, INDEX((T$2:T278&lt;&gt;"")*(N$2:N278="yes"), 0), 0))) * 1440 / COUNTIF(N$2:N278, "yes"), ""))</f>
        <v/>
      </c>
    </row>
    <row r="279" spans="18:21" x14ac:dyDescent="0.25">
      <c r="R279" s="2" t="str">
        <f t="shared" si="9"/>
        <v/>
      </c>
      <c r="S279" s="2" t="str" cm="1">
        <f t="array" aca="1" ref="S279" ca="1">IF(T279&lt;&gt;"", IFERROR((T279 - MAX(_xlfn._xlws.FILTER(T$2:T278, N$2:N278 = "yes"))) * 24 * 60, ""), "")</f>
        <v/>
      </c>
      <c r="T279" s="2" t="str">
        <f t="shared" ca="1" si="8"/>
        <v/>
      </c>
      <c r="U279" s="2" t="str" cm="1">
        <f t="array" ref="U279">IF(N279&lt;&gt;"yes", "", IFERROR((T279 - INDEX(T$2:T279, MATCH(TRUE, INDEX((T$2:T279&lt;&gt;"")*(N$2:N279="yes"), 0), 0))) * 1440 / COUNTIF(N$2:N279, "yes"), ""))</f>
        <v/>
      </c>
    </row>
    <row r="280" spans="18:21" x14ac:dyDescent="0.25">
      <c r="R280" s="2" t="str">
        <f t="shared" si="9"/>
        <v/>
      </c>
      <c r="S280" s="2" t="str" cm="1">
        <f t="array" aca="1" ref="S280" ca="1">IF(T280&lt;&gt;"", IFERROR((T280 - MAX(_xlfn._xlws.FILTER(T$2:T279, N$2:N279 = "yes"))) * 24 * 60, ""), "")</f>
        <v/>
      </c>
      <c r="T280" s="2" t="str">
        <f t="shared" ca="1" si="8"/>
        <v/>
      </c>
      <c r="U280" s="2" t="str" cm="1">
        <f t="array" ref="U280">IF(N280&lt;&gt;"yes", "", IFERROR((T280 - INDEX(T$2:T280, MATCH(TRUE, INDEX((T$2:T280&lt;&gt;"")*(N$2:N280="yes"), 0), 0))) * 1440 / COUNTIF(N$2:N280, "yes"), ""))</f>
        <v/>
      </c>
    </row>
    <row r="281" spans="18:21" x14ac:dyDescent="0.25">
      <c r="R281" s="2" t="str">
        <f t="shared" si="9"/>
        <v/>
      </c>
      <c r="S281" s="2" t="str" cm="1">
        <f t="array" aca="1" ref="S281" ca="1">IF(T281&lt;&gt;"", IFERROR((T281 - MAX(_xlfn._xlws.FILTER(T$2:T280, N$2:N280 = "yes"))) * 24 * 60, ""), "")</f>
        <v/>
      </c>
      <c r="T281" s="2" t="str">
        <f t="shared" ca="1" si="8"/>
        <v/>
      </c>
      <c r="U281" s="2" t="str" cm="1">
        <f t="array" ref="U281">IF(N281&lt;&gt;"yes", "", IFERROR((T281 - INDEX(T$2:T281, MATCH(TRUE, INDEX((T$2:T281&lt;&gt;"")*(N$2:N281="yes"), 0), 0))) * 1440 / COUNTIF(N$2:N281, "yes"), ""))</f>
        <v/>
      </c>
    </row>
    <row r="282" spans="18:21" x14ac:dyDescent="0.25">
      <c r="R282" s="2" t="str">
        <f t="shared" si="9"/>
        <v/>
      </c>
      <c r="S282" s="2" t="str" cm="1">
        <f t="array" aca="1" ref="S282" ca="1">IF(T282&lt;&gt;"", IFERROR((T282 - MAX(_xlfn._xlws.FILTER(T$2:T281, N$2:N281 = "yes"))) * 24 * 60, ""), "")</f>
        <v/>
      </c>
      <c r="T282" s="2" t="str">
        <f t="shared" ca="1" si="8"/>
        <v/>
      </c>
      <c r="U282" s="2" t="str" cm="1">
        <f t="array" ref="U282">IF(N282&lt;&gt;"yes", "", IFERROR((T282 - INDEX(T$2:T282, MATCH(TRUE, INDEX((T$2:T282&lt;&gt;"")*(N$2:N282="yes"), 0), 0))) * 1440 / COUNTIF(N$2:N282, "yes"), ""))</f>
        <v/>
      </c>
    </row>
    <row r="283" spans="18:21" x14ac:dyDescent="0.25">
      <c r="R283" s="2" t="str">
        <f t="shared" si="9"/>
        <v/>
      </c>
      <c r="S283" s="2" t="str" cm="1">
        <f t="array" aca="1" ref="S283" ca="1">IF(T283&lt;&gt;"", IFERROR((T283 - MAX(_xlfn._xlws.FILTER(T$2:T282, N$2:N282 = "yes"))) * 24 * 60, ""), "")</f>
        <v/>
      </c>
      <c r="T283" s="2" t="str">
        <f t="shared" ca="1" si="8"/>
        <v/>
      </c>
      <c r="U283" s="2" t="str" cm="1">
        <f t="array" ref="U283">IF(N283&lt;&gt;"yes", "", IFERROR((T283 - INDEX(T$2:T283, MATCH(TRUE, INDEX((T$2:T283&lt;&gt;"")*(N$2:N283="yes"), 0), 0))) * 1440 / COUNTIF(N$2:N283, "yes"), ""))</f>
        <v/>
      </c>
    </row>
    <row r="284" spans="18:21" x14ac:dyDescent="0.25">
      <c r="R284" s="2" t="str">
        <f t="shared" si="9"/>
        <v/>
      </c>
      <c r="S284" s="2" t="str" cm="1">
        <f t="array" aca="1" ref="S284" ca="1">IF(T284&lt;&gt;"", IFERROR((T284 - MAX(_xlfn._xlws.FILTER(T$2:T283, N$2:N283 = "yes"))) * 24 * 60, ""), "")</f>
        <v/>
      </c>
      <c r="T284" s="2" t="str">
        <f t="shared" ca="1" si="8"/>
        <v/>
      </c>
      <c r="U284" s="2" t="str" cm="1">
        <f t="array" ref="U284">IF(N284&lt;&gt;"yes", "", IFERROR((T284 - INDEX(T$2:T284, MATCH(TRUE, INDEX((T$2:T284&lt;&gt;"")*(N$2:N284="yes"), 0), 0))) * 1440 / COUNTIF(N$2:N284, "yes"), ""))</f>
        <v/>
      </c>
    </row>
    <row r="285" spans="18:21" x14ac:dyDescent="0.25">
      <c r="R285" s="2" t="str">
        <f t="shared" si="9"/>
        <v/>
      </c>
      <c r="S285" s="2" t="str" cm="1">
        <f t="array" aca="1" ref="S285" ca="1">IF(T285&lt;&gt;"", IFERROR((T285 - MAX(_xlfn._xlws.FILTER(T$2:T284, N$2:N284 = "yes"))) * 24 * 60, ""), "")</f>
        <v/>
      </c>
      <c r="T285" s="2" t="str">
        <f t="shared" ca="1" si="8"/>
        <v/>
      </c>
      <c r="U285" s="2" t="str" cm="1">
        <f t="array" ref="U285">IF(N285&lt;&gt;"yes", "", IFERROR((T285 - INDEX(T$2:T285, MATCH(TRUE, INDEX((T$2:T285&lt;&gt;"")*(N$2:N285="yes"), 0), 0))) * 1440 / COUNTIF(N$2:N285, "yes"), ""))</f>
        <v/>
      </c>
    </row>
    <row r="286" spans="18:21" x14ac:dyDescent="0.25">
      <c r="R286" s="2" t="str">
        <f t="shared" si="9"/>
        <v/>
      </c>
      <c r="S286" s="2" t="str" cm="1">
        <f t="array" aca="1" ref="S286" ca="1">IF(T286&lt;&gt;"", IFERROR((T286 - MAX(_xlfn._xlws.FILTER(T$2:T285, N$2:N285 = "yes"))) * 24 * 60, ""), "")</f>
        <v/>
      </c>
      <c r="T286" s="2" t="str">
        <f t="shared" ca="1" si="8"/>
        <v/>
      </c>
      <c r="U286" s="2" t="str" cm="1">
        <f t="array" ref="U286">IF(N286&lt;&gt;"yes", "", IFERROR((T286 - INDEX(T$2:T286, MATCH(TRUE, INDEX((T$2:T286&lt;&gt;"")*(N$2:N286="yes"), 0), 0))) * 1440 / COUNTIF(N$2:N286, "yes"), ""))</f>
        <v/>
      </c>
    </row>
    <row r="287" spans="18:21" x14ac:dyDescent="0.25">
      <c r="R287" s="2" t="str">
        <f t="shared" si="9"/>
        <v/>
      </c>
      <c r="S287" s="2" t="str" cm="1">
        <f t="array" aca="1" ref="S287" ca="1">IF(T287&lt;&gt;"", IFERROR((T287 - MAX(_xlfn._xlws.FILTER(T$2:T286, N$2:N286 = "yes"))) * 24 * 60, ""), "")</f>
        <v/>
      </c>
      <c r="T287" s="2" t="str">
        <f t="shared" ca="1" si="8"/>
        <v/>
      </c>
      <c r="U287" s="2" t="str" cm="1">
        <f t="array" ref="U287">IF(N287&lt;&gt;"yes", "", IFERROR((T287 - INDEX(T$2:T287, MATCH(TRUE, INDEX((T$2:T287&lt;&gt;"")*(N$2:N287="yes"), 0), 0))) * 1440 / COUNTIF(N$2:N287, "yes"), ""))</f>
        <v/>
      </c>
    </row>
    <row r="288" spans="18:21" x14ac:dyDescent="0.25">
      <c r="R288" s="2" t="str">
        <f t="shared" si="9"/>
        <v/>
      </c>
      <c r="S288" s="2" t="str" cm="1">
        <f t="array" aca="1" ref="S288" ca="1">IF(T288&lt;&gt;"", IFERROR((T288 - MAX(_xlfn._xlws.FILTER(T$2:T287, N$2:N287 = "yes"))) * 24 * 60, ""), "")</f>
        <v/>
      </c>
      <c r="T288" s="2" t="str">
        <f t="shared" ca="1" si="8"/>
        <v/>
      </c>
      <c r="U288" s="2" t="str" cm="1">
        <f t="array" ref="U288">IF(N288&lt;&gt;"yes", "", IFERROR((T288 - INDEX(T$2:T288, MATCH(TRUE, INDEX((T$2:T288&lt;&gt;"")*(N$2:N288="yes"), 0), 0))) * 1440 / COUNTIF(N$2:N288, "yes"), ""))</f>
        <v/>
      </c>
    </row>
    <row r="289" spans="18:21" x14ac:dyDescent="0.25">
      <c r="R289" s="2" t="str">
        <f t="shared" si="9"/>
        <v/>
      </c>
      <c r="S289" s="2" t="str" cm="1">
        <f t="array" aca="1" ref="S289" ca="1">IF(T289&lt;&gt;"", IFERROR((T289 - MAX(_xlfn._xlws.FILTER(T$2:T288, N$2:N288 = "yes"))) * 24 * 60, ""), "")</f>
        <v/>
      </c>
      <c r="T289" s="2" t="str">
        <f t="shared" ca="1" si="8"/>
        <v/>
      </c>
      <c r="U289" s="2" t="str" cm="1">
        <f t="array" ref="U289">IF(N289&lt;&gt;"yes", "", IFERROR((T289 - INDEX(T$2:T289, MATCH(TRUE, INDEX((T$2:T289&lt;&gt;"")*(N$2:N289="yes"), 0), 0))) * 1440 / COUNTIF(N$2:N289, "yes"), ""))</f>
        <v/>
      </c>
    </row>
    <row r="290" spans="18:21" x14ac:dyDescent="0.25">
      <c r="R290" s="2" t="str">
        <f t="shared" si="9"/>
        <v/>
      </c>
      <c r="S290" s="2" t="str" cm="1">
        <f t="array" aca="1" ref="S290" ca="1">IF(T290&lt;&gt;"", IFERROR((T290 - MAX(_xlfn._xlws.FILTER(T$2:T289, N$2:N289 = "yes"))) * 24 * 60, ""), "")</f>
        <v/>
      </c>
      <c r="T290" s="2" t="str">
        <f t="shared" ca="1" si="8"/>
        <v/>
      </c>
      <c r="U290" s="2" t="str" cm="1">
        <f t="array" ref="U290">IF(N290&lt;&gt;"yes", "", IFERROR((T290 - INDEX(T$2:T290, MATCH(TRUE, INDEX((T$2:T290&lt;&gt;"")*(N$2:N290="yes"), 0), 0))) * 1440 / COUNTIF(N$2:N290, "yes"), ""))</f>
        <v/>
      </c>
    </row>
    <row r="291" spans="18:21" x14ac:dyDescent="0.25">
      <c r="R291" s="2" t="str">
        <f t="shared" si="9"/>
        <v/>
      </c>
      <c r="S291" s="2" t="str" cm="1">
        <f t="array" aca="1" ref="S291" ca="1">IF(T291&lt;&gt;"", IFERROR((T291 - MAX(_xlfn._xlws.FILTER(T$2:T290, N$2:N290 = "yes"))) * 24 * 60, ""), "")</f>
        <v/>
      </c>
      <c r="T291" s="2" t="str">
        <f t="shared" ca="1" si="8"/>
        <v/>
      </c>
      <c r="U291" s="2" t="str" cm="1">
        <f t="array" ref="U291">IF(N291&lt;&gt;"yes", "", IFERROR((T291 - INDEX(T$2:T291, MATCH(TRUE, INDEX((T$2:T291&lt;&gt;"")*(N$2:N291="yes"), 0), 0))) * 1440 / COUNTIF(N$2:N291, "yes"), ""))</f>
        <v/>
      </c>
    </row>
    <row r="292" spans="18:21" x14ac:dyDescent="0.25">
      <c r="R292" s="2" t="str">
        <f t="shared" si="9"/>
        <v/>
      </c>
      <c r="S292" s="2" t="str" cm="1">
        <f t="array" aca="1" ref="S292" ca="1">IF(T292&lt;&gt;"", IFERROR((T292 - MAX(_xlfn._xlws.FILTER(T$2:T291, N$2:N291 = "yes"))) * 24 * 60, ""), "")</f>
        <v/>
      </c>
      <c r="T292" s="2" t="str">
        <f t="shared" ca="1" si="8"/>
        <v/>
      </c>
      <c r="U292" s="2" t="str" cm="1">
        <f t="array" ref="U292">IF(N292&lt;&gt;"yes", "", IFERROR((T292 - INDEX(T$2:T292, MATCH(TRUE, INDEX((T$2:T292&lt;&gt;"")*(N$2:N292="yes"), 0), 0))) * 1440 / COUNTIF(N$2:N292, "yes"), ""))</f>
        <v/>
      </c>
    </row>
    <row r="293" spans="18:21" x14ac:dyDescent="0.25">
      <c r="R293" s="2" t="str">
        <f t="shared" si="9"/>
        <v/>
      </c>
      <c r="S293" s="2" t="str" cm="1">
        <f t="array" aca="1" ref="S293" ca="1">IF(T293&lt;&gt;"", IFERROR((T293 - MAX(_xlfn._xlws.FILTER(T$2:T292, N$2:N292 = "yes"))) * 24 * 60, ""), "")</f>
        <v/>
      </c>
      <c r="T293" s="2" t="str">
        <f t="shared" ca="1" si="8"/>
        <v/>
      </c>
      <c r="U293" s="2" t="str" cm="1">
        <f t="array" ref="U293">IF(N293&lt;&gt;"yes", "", IFERROR((T293 - INDEX(T$2:T293, MATCH(TRUE, INDEX((T$2:T293&lt;&gt;"")*(N$2:N293="yes"), 0), 0))) * 1440 / COUNTIF(N$2:N293, "yes"), ""))</f>
        <v/>
      </c>
    </row>
    <row r="294" spans="18:21" x14ac:dyDescent="0.25">
      <c r="R294" s="2" t="str">
        <f t="shared" si="9"/>
        <v/>
      </c>
      <c r="S294" s="2" t="str" cm="1">
        <f t="array" aca="1" ref="S294" ca="1">IF(T294&lt;&gt;"", IFERROR((T294 - MAX(_xlfn._xlws.FILTER(T$2:T293, N$2:N293 = "yes"))) * 24 * 60, ""), "")</f>
        <v/>
      </c>
      <c r="T294" s="2" t="str">
        <f t="shared" ca="1" si="8"/>
        <v/>
      </c>
      <c r="U294" s="2" t="str" cm="1">
        <f t="array" ref="U294">IF(N294&lt;&gt;"yes", "", IFERROR((T294 - INDEX(T$2:T294, MATCH(TRUE, INDEX((T$2:T294&lt;&gt;"")*(N$2:N294="yes"), 0), 0))) * 1440 / COUNTIF(N$2:N294, "yes"), ""))</f>
        <v/>
      </c>
    </row>
    <row r="295" spans="18:21" x14ac:dyDescent="0.25">
      <c r="R295" s="2" t="str">
        <f t="shared" si="9"/>
        <v/>
      </c>
      <c r="S295" s="2" t="str" cm="1">
        <f t="array" aca="1" ref="S295" ca="1">IF(T295&lt;&gt;"", IFERROR((T295 - MAX(_xlfn._xlws.FILTER(T$2:T294, N$2:N294 = "yes"))) * 24 * 60, ""), "")</f>
        <v/>
      </c>
      <c r="T295" s="2" t="str">
        <f t="shared" ca="1" si="8"/>
        <v/>
      </c>
      <c r="U295" s="2" t="str" cm="1">
        <f t="array" ref="U295">IF(N295&lt;&gt;"yes", "", IFERROR((T295 - INDEX(T$2:T295, MATCH(TRUE, INDEX((T$2:T295&lt;&gt;"")*(N$2:N295="yes"), 0), 0))) * 1440 / COUNTIF(N$2:N295, "yes"), ""))</f>
        <v/>
      </c>
    </row>
    <row r="296" spans="18:21" x14ac:dyDescent="0.25">
      <c r="R296" s="2" t="str">
        <f t="shared" si="9"/>
        <v/>
      </c>
      <c r="S296" s="2" t="str" cm="1">
        <f t="array" aca="1" ref="S296" ca="1">IF(T296&lt;&gt;"", IFERROR((T296 - MAX(_xlfn._xlws.FILTER(T$2:T295, N$2:N295 = "yes"))) * 24 * 60, ""), "")</f>
        <v/>
      </c>
      <c r="T296" s="2" t="str">
        <f t="shared" ca="1" si="8"/>
        <v/>
      </c>
      <c r="U296" s="2" t="str" cm="1">
        <f t="array" ref="U296">IF(N296&lt;&gt;"yes", "", IFERROR((T296 - INDEX(T$2:T296, MATCH(TRUE, INDEX((T$2:T296&lt;&gt;"")*(N$2:N296="yes"), 0), 0))) * 1440 / COUNTIF(N$2:N296, "yes"), ""))</f>
        <v/>
      </c>
    </row>
    <row r="297" spans="18:21" x14ac:dyDescent="0.25">
      <c r="R297" s="2" t="str">
        <f t="shared" si="9"/>
        <v/>
      </c>
      <c r="S297" s="2" t="str" cm="1">
        <f t="array" aca="1" ref="S297" ca="1">IF(T297&lt;&gt;"", IFERROR((T297 - MAX(_xlfn._xlws.FILTER(T$2:T296, N$2:N296 = "yes"))) * 24 * 60, ""), "")</f>
        <v/>
      </c>
      <c r="T297" s="2" t="str">
        <f t="shared" ca="1" si="8"/>
        <v/>
      </c>
      <c r="U297" s="2" t="str" cm="1">
        <f t="array" ref="U297">IF(N297&lt;&gt;"yes", "", IFERROR((T297 - INDEX(T$2:T297, MATCH(TRUE, INDEX((T$2:T297&lt;&gt;"")*(N$2:N297="yes"), 0), 0))) * 1440 / COUNTIF(N$2:N297, "yes"), ""))</f>
        <v/>
      </c>
    </row>
    <row r="298" spans="18:21" x14ac:dyDescent="0.25">
      <c r="R298" s="2" t="str">
        <f t="shared" si="9"/>
        <v/>
      </c>
      <c r="S298" s="2" t="str" cm="1">
        <f t="array" aca="1" ref="S298" ca="1">IF(T298&lt;&gt;"", IFERROR((T298 - MAX(_xlfn._xlws.FILTER(T$2:T297, N$2:N297 = "yes"))) * 24 * 60, ""), "")</f>
        <v/>
      </c>
      <c r="T298" s="2" t="str">
        <f t="shared" ca="1" si="8"/>
        <v/>
      </c>
      <c r="U298" s="2" t="str" cm="1">
        <f t="array" ref="U298">IF(N298&lt;&gt;"yes", "", IFERROR((T298 - INDEX(T$2:T298, MATCH(TRUE, INDEX((T$2:T298&lt;&gt;"")*(N$2:N298="yes"), 0), 0))) * 1440 / COUNTIF(N$2:N298, "yes"), ""))</f>
        <v/>
      </c>
    </row>
    <row r="299" spans="18:21" x14ac:dyDescent="0.25">
      <c r="R299" s="2" t="str">
        <f t="shared" si="9"/>
        <v/>
      </c>
      <c r="S299" s="2" t="str" cm="1">
        <f t="array" aca="1" ref="S299" ca="1">IF(T299&lt;&gt;"", IFERROR((T299 - MAX(_xlfn._xlws.FILTER(T$2:T298, N$2:N298 = "yes"))) * 24 * 60, ""), "")</f>
        <v/>
      </c>
      <c r="T299" s="2" t="str">
        <f t="shared" ca="1" si="8"/>
        <v/>
      </c>
      <c r="U299" s="2" t="str" cm="1">
        <f t="array" ref="U299">IF(N299&lt;&gt;"yes", "", IFERROR((T299 - INDEX(T$2:T299, MATCH(TRUE, INDEX((T$2:T299&lt;&gt;"")*(N$2:N299="yes"), 0), 0))) * 1440 / COUNTIF(N$2:N299, "yes"), ""))</f>
        <v/>
      </c>
    </row>
    <row r="300" spans="18:21" x14ac:dyDescent="0.25">
      <c r="R300" s="2" t="str">
        <f t="shared" si="9"/>
        <v/>
      </c>
      <c r="S300" s="2" t="str" cm="1">
        <f t="array" aca="1" ref="S300" ca="1">IF(T300&lt;&gt;"", IFERROR((T300 - MAX(_xlfn._xlws.FILTER(T$2:T299, N$2:N299 = "yes"))) * 24 * 60, ""), "")</f>
        <v/>
      </c>
      <c r="T300" s="2" t="str">
        <f t="shared" ca="1" si="8"/>
        <v/>
      </c>
      <c r="U300" s="2" t="str" cm="1">
        <f t="array" ref="U300">IF(N300&lt;&gt;"yes", "", IFERROR((T300 - INDEX(T$2:T300, MATCH(TRUE, INDEX((T$2:T300&lt;&gt;"")*(N$2:N300="yes"), 0), 0))) * 1440 / COUNTIF(N$2:N300, "yes"), ""))</f>
        <v/>
      </c>
    </row>
    <row r="301" spans="18:21" x14ac:dyDescent="0.25">
      <c r="R301" s="2" t="str">
        <f t="shared" si="9"/>
        <v/>
      </c>
      <c r="S301" s="2" t="str" cm="1">
        <f t="array" aca="1" ref="S301" ca="1">IF(T301&lt;&gt;"", IFERROR((T301 - MAX(_xlfn._xlws.FILTER(T$2:T300, N$2:N300 = "yes"))) * 24 * 60, ""), "")</f>
        <v/>
      </c>
      <c r="T301" s="2" t="str">
        <f t="shared" ca="1" si="8"/>
        <v/>
      </c>
      <c r="U301" s="2" t="str" cm="1">
        <f t="array" ref="U301">IF(N301&lt;&gt;"yes", "", IFERROR((T301 - INDEX(T$2:T301, MATCH(TRUE, INDEX((T$2:T301&lt;&gt;"")*(N$2:N301="yes"), 0), 0))) * 1440 / COUNTIF(N$2:N301, "yes"), ""))</f>
        <v/>
      </c>
    </row>
    <row r="302" spans="18:21" x14ac:dyDescent="0.25">
      <c r="R302" s="2" t="str">
        <f t="shared" si="9"/>
        <v/>
      </c>
      <c r="S302" s="2" t="str" cm="1">
        <f t="array" aca="1" ref="S302" ca="1">IF(T302&lt;&gt;"", IFERROR((T302 - MAX(_xlfn._xlws.FILTER(T$2:T301, N$2:N301 = "yes"))) * 24 * 60, ""), "")</f>
        <v/>
      </c>
      <c r="T302" s="2" t="str">
        <f t="shared" ca="1" si="8"/>
        <v/>
      </c>
      <c r="U302" s="2" t="str" cm="1">
        <f t="array" ref="U302">IF(N302&lt;&gt;"yes", "", IFERROR((T302 - INDEX(T$2:T302, MATCH(TRUE, INDEX((T$2:T302&lt;&gt;"")*(N$2:N302="yes"), 0), 0))) * 1440 / COUNTIF(N$2:N302, "yes"), ""))</f>
        <v/>
      </c>
    </row>
    <row r="303" spans="18:21" x14ac:dyDescent="0.25">
      <c r="R303" s="2" t="str">
        <f t="shared" si="9"/>
        <v/>
      </c>
      <c r="S303" s="2" t="str" cm="1">
        <f t="array" aca="1" ref="S303" ca="1">IF(T303&lt;&gt;"", IFERROR((T303 - MAX(_xlfn._xlws.FILTER(T$2:T302, N$2:N302 = "yes"))) * 24 * 60, ""), "")</f>
        <v/>
      </c>
      <c r="T303" s="2" t="str">
        <f t="shared" ca="1" si="8"/>
        <v/>
      </c>
      <c r="U303" s="2" t="str" cm="1">
        <f t="array" ref="U303">IF(N303&lt;&gt;"yes", "", IFERROR((T303 - INDEX(T$2:T303, MATCH(TRUE, INDEX((T$2:T303&lt;&gt;"")*(N$2:N303="yes"), 0), 0))) * 1440 / COUNTIF(N$2:N303, "yes"), ""))</f>
        <v/>
      </c>
    </row>
    <row r="304" spans="18:21" x14ac:dyDescent="0.25">
      <c r="R304" s="2" t="str">
        <f t="shared" si="9"/>
        <v/>
      </c>
      <c r="S304" s="2" t="str" cm="1">
        <f t="array" aca="1" ref="S304" ca="1">IF(T304&lt;&gt;"", IFERROR((T304 - MAX(_xlfn._xlws.FILTER(T$2:T303, N$2:N303 = "yes"))) * 24 * 60, ""), "")</f>
        <v/>
      </c>
      <c r="T304" s="2" t="str">
        <f t="shared" ca="1" si="8"/>
        <v/>
      </c>
      <c r="U304" s="2" t="str" cm="1">
        <f t="array" ref="U304">IF(N304&lt;&gt;"yes", "", IFERROR((T304 - INDEX(T$2:T304, MATCH(TRUE, INDEX((T$2:T304&lt;&gt;"")*(N$2:N304="yes"), 0), 0))) * 1440 / COUNTIF(N$2:N304, "yes"), ""))</f>
        <v/>
      </c>
    </row>
    <row r="305" spans="18:21" x14ac:dyDescent="0.25">
      <c r="R305" s="2" t="str">
        <f t="shared" si="9"/>
        <v/>
      </c>
      <c r="S305" s="2" t="str" cm="1">
        <f t="array" aca="1" ref="S305" ca="1">IF(T305&lt;&gt;"", IFERROR((T305 - MAX(_xlfn._xlws.FILTER(T$2:T304, N$2:N304 = "yes"))) * 24 * 60, ""), "")</f>
        <v/>
      </c>
      <c r="T305" s="2" t="str">
        <f t="shared" ca="1" si="8"/>
        <v/>
      </c>
      <c r="U305" s="2" t="str" cm="1">
        <f t="array" ref="U305">IF(N305&lt;&gt;"yes", "", IFERROR((T305 - INDEX(T$2:T305, MATCH(TRUE, INDEX((T$2:T305&lt;&gt;"")*(N$2:N305="yes"), 0), 0))) * 1440 / COUNTIF(N$2:N305, "yes"), ""))</f>
        <v/>
      </c>
    </row>
    <row r="306" spans="18:21" x14ac:dyDescent="0.25">
      <c r="R306" s="2" t="str">
        <f t="shared" si="9"/>
        <v/>
      </c>
      <c r="S306" s="2" t="str" cm="1">
        <f t="array" aca="1" ref="S306" ca="1">IF(T306&lt;&gt;"", IFERROR((T306 - MAX(_xlfn._xlws.FILTER(T$2:T305, N$2:N305 = "yes"))) * 24 * 60, ""), "")</f>
        <v/>
      </c>
      <c r="T306" s="2" t="str">
        <f t="shared" ca="1" si="8"/>
        <v/>
      </c>
      <c r="U306" s="2" t="str" cm="1">
        <f t="array" ref="U306">IF(N306&lt;&gt;"yes", "", IFERROR((T306 - INDEX(T$2:T306, MATCH(TRUE, INDEX((T$2:T306&lt;&gt;"")*(N$2:N306="yes"), 0), 0))) * 1440 / COUNTIF(N$2:N306, "yes"), ""))</f>
        <v/>
      </c>
    </row>
    <row r="307" spans="18:21" x14ac:dyDescent="0.25">
      <c r="R307" s="2" t="str">
        <f t="shared" si="9"/>
        <v/>
      </c>
      <c r="S307" s="2" t="str" cm="1">
        <f t="array" aca="1" ref="S307" ca="1">IF(T307&lt;&gt;"", IFERROR((T307 - MAX(_xlfn._xlws.FILTER(T$2:T306, N$2:N306 = "yes"))) * 24 * 60, ""), "")</f>
        <v/>
      </c>
      <c r="T307" s="2" t="str">
        <f t="shared" ca="1" si="8"/>
        <v/>
      </c>
      <c r="U307" s="2" t="str" cm="1">
        <f t="array" ref="U307">IF(N307&lt;&gt;"yes", "", IFERROR((T307 - INDEX(T$2:T307, MATCH(TRUE, INDEX((T$2:T307&lt;&gt;"")*(N$2:N307="yes"), 0), 0))) * 1440 / COUNTIF(N$2:N307, "yes"), ""))</f>
        <v/>
      </c>
    </row>
    <row r="308" spans="18:21" x14ac:dyDescent="0.25">
      <c r="R308" s="2" t="str">
        <f t="shared" si="9"/>
        <v/>
      </c>
      <c r="S308" s="2" t="str" cm="1">
        <f t="array" aca="1" ref="S308" ca="1">IF(T308&lt;&gt;"", IFERROR((T308 - MAX(_xlfn._xlws.FILTER(T$2:T307, N$2:N307 = "yes"))) * 24 * 60, ""), "")</f>
        <v/>
      </c>
      <c r="T308" s="2" t="str">
        <f t="shared" ca="1" si="8"/>
        <v/>
      </c>
      <c r="U308" s="2" t="str" cm="1">
        <f t="array" ref="U308">IF(N308&lt;&gt;"yes", "", IFERROR((T308 - INDEX(T$2:T308, MATCH(TRUE, INDEX((T$2:T308&lt;&gt;"")*(N$2:N308="yes"), 0), 0))) * 1440 / COUNTIF(N$2:N308, "yes"), ""))</f>
        <v/>
      </c>
    </row>
    <row r="309" spans="18:21" x14ac:dyDescent="0.25">
      <c r="R309" s="2" t="str">
        <f t="shared" si="9"/>
        <v/>
      </c>
      <c r="S309" s="2" t="str" cm="1">
        <f t="array" aca="1" ref="S309" ca="1">IF(T309&lt;&gt;"", IFERROR((T309 - MAX(_xlfn._xlws.FILTER(T$2:T308, N$2:N308 = "yes"))) * 24 * 60, ""), "")</f>
        <v/>
      </c>
      <c r="T309" s="2" t="str">
        <f t="shared" ca="1" si="8"/>
        <v/>
      </c>
      <c r="U309" s="2" t="str" cm="1">
        <f t="array" ref="U309">IF(N309&lt;&gt;"yes", "", IFERROR((T309 - INDEX(T$2:T309, MATCH(TRUE, INDEX((T$2:T309&lt;&gt;"")*(N$2:N309="yes"), 0), 0))) * 1440 / COUNTIF(N$2:N309, "yes"), ""))</f>
        <v/>
      </c>
    </row>
    <row r="310" spans="18:21" x14ac:dyDescent="0.25">
      <c r="R310" s="2" t="str">
        <f t="shared" si="9"/>
        <v/>
      </c>
      <c r="S310" s="2" t="str" cm="1">
        <f t="array" aca="1" ref="S310" ca="1">IF(T310&lt;&gt;"", IFERROR((T310 - MAX(_xlfn._xlws.FILTER(T$2:T309, N$2:N309 = "yes"))) * 24 * 60, ""), "")</f>
        <v/>
      </c>
      <c r="T310" s="2" t="str">
        <f t="shared" ca="1" si="8"/>
        <v/>
      </c>
      <c r="U310" s="2" t="str" cm="1">
        <f t="array" ref="U310">IF(N310&lt;&gt;"yes", "", IFERROR((T310 - INDEX(T$2:T310, MATCH(TRUE, INDEX((T$2:T310&lt;&gt;"")*(N$2:N310="yes"), 0), 0))) * 1440 / COUNTIF(N$2:N310, "yes"), ""))</f>
        <v/>
      </c>
    </row>
    <row r="311" spans="18:21" x14ac:dyDescent="0.25">
      <c r="R311" s="2" t="str">
        <f t="shared" si="9"/>
        <v/>
      </c>
      <c r="S311" s="2" t="str" cm="1">
        <f t="array" aca="1" ref="S311" ca="1">IF(T311&lt;&gt;"", IFERROR((T311 - MAX(_xlfn._xlws.FILTER(T$2:T310, N$2:N310 = "yes"))) * 24 * 60, ""), "")</f>
        <v/>
      </c>
      <c r="T311" s="2" t="str">
        <f t="shared" ca="1" si="8"/>
        <v/>
      </c>
      <c r="U311" s="2" t="str" cm="1">
        <f t="array" ref="U311">IF(N311&lt;&gt;"yes", "", IFERROR((T311 - INDEX(T$2:T311, MATCH(TRUE, INDEX((T$2:T311&lt;&gt;"")*(N$2:N311="yes"), 0), 0))) * 1440 / COUNTIF(N$2:N311, "yes"), ""))</f>
        <v/>
      </c>
    </row>
    <row r="312" spans="18:21" x14ac:dyDescent="0.25">
      <c r="R312" s="2" t="str">
        <f t="shared" si="9"/>
        <v/>
      </c>
      <c r="S312" s="2" t="str" cm="1">
        <f t="array" aca="1" ref="S312" ca="1">IF(T312&lt;&gt;"", IFERROR((T312 - MAX(_xlfn._xlws.FILTER(T$2:T311, N$2:N311 = "yes"))) * 24 * 60, ""), "")</f>
        <v/>
      </c>
      <c r="T312" s="2" t="str">
        <f t="shared" ca="1" si="8"/>
        <v/>
      </c>
      <c r="U312" s="2" t="str" cm="1">
        <f t="array" ref="U312">IF(N312&lt;&gt;"yes", "", IFERROR((T312 - INDEX(T$2:T312, MATCH(TRUE, INDEX((T$2:T312&lt;&gt;"")*(N$2:N312="yes"), 0), 0))) * 1440 / COUNTIF(N$2:N312, "yes"), ""))</f>
        <v/>
      </c>
    </row>
    <row r="313" spans="18:21" x14ac:dyDescent="0.25">
      <c r="R313" s="2" t="str">
        <f t="shared" si="9"/>
        <v/>
      </c>
      <c r="S313" s="2" t="str" cm="1">
        <f t="array" aca="1" ref="S313" ca="1">IF(T313&lt;&gt;"", IFERROR((T313 - MAX(_xlfn._xlws.FILTER(T$2:T312, N$2:N312 = "yes"))) * 24 * 60, ""), "")</f>
        <v/>
      </c>
      <c r="T313" s="2" t="str">
        <f t="shared" ca="1" si="8"/>
        <v/>
      </c>
      <c r="U313" s="2" t="str" cm="1">
        <f t="array" ref="U313">IF(N313&lt;&gt;"yes", "", IFERROR((T313 - INDEX(T$2:T313, MATCH(TRUE, INDEX((T$2:T313&lt;&gt;"")*(N$2:N313="yes"), 0), 0))) * 1440 / COUNTIF(N$2:N313, "yes"), ""))</f>
        <v/>
      </c>
    </row>
    <row r="314" spans="18:21" x14ac:dyDescent="0.25">
      <c r="R314" s="2" t="str">
        <f t="shared" si="9"/>
        <v/>
      </c>
      <c r="S314" s="2" t="str" cm="1">
        <f t="array" aca="1" ref="S314" ca="1">IF(T314&lt;&gt;"", IFERROR((T314 - MAX(_xlfn._xlws.FILTER(T$2:T313, N$2:N313 = "yes"))) * 24 * 60, ""), "")</f>
        <v/>
      </c>
      <c r="T314" s="2" t="str">
        <f t="shared" ca="1" si="8"/>
        <v/>
      </c>
      <c r="U314" s="2" t="str" cm="1">
        <f t="array" ref="U314">IF(N314&lt;&gt;"yes", "", IFERROR((T314 - INDEX(T$2:T314, MATCH(TRUE, INDEX((T$2:T314&lt;&gt;"")*(N$2:N314="yes"), 0), 0))) * 1440 / COUNTIF(N$2:N314, "yes"), ""))</f>
        <v/>
      </c>
    </row>
    <row r="315" spans="18:21" x14ac:dyDescent="0.25">
      <c r="R315" s="2" t="str">
        <f t="shared" si="9"/>
        <v/>
      </c>
      <c r="S315" s="2" t="str" cm="1">
        <f t="array" aca="1" ref="S315" ca="1">IF(T315&lt;&gt;"", IFERROR((T315 - MAX(_xlfn._xlws.FILTER(T$2:T314, N$2:N314 = "yes"))) * 24 * 60, ""), "")</f>
        <v/>
      </c>
      <c r="T315" s="2" t="str">
        <f t="shared" ca="1" si="8"/>
        <v/>
      </c>
      <c r="U315" s="2" t="str" cm="1">
        <f t="array" ref="U315">IF(N315&lt;&gt;"yes", "", IFERROR((T315 - INDEX(T$2:T315, MATCH(TRUE, INDEX((T$2:T315&lt;&gt;"")*(N$2:N315="yes"), 0), 0))) * 1440 / COUNTIF(N$2:N315, "yes"), ""))</f>
        <v/>
      </c>
    </row>
    <row r="316" spans="18:21" x14ac:dyDescent="0.25">
      <c r="R316" s="2" t="str">
        <f t="shared" si="9"/>
        <v/>
      </c>
      <c r="S316" s="2" t="str" cm="1">
        <f t="array" aca="1" ref="S316" ca="1">IF(T316&lt;&gt;"", IFERROR((T316 - MAX(_xlfn._xlws.FILTER(T$2:T315, N$2:N315 = "yes"))) * 24 * 60, ""), "")</f>
        <v/>
      </c>
      <c r="T316" s="2" t="str">
        <f t="shared" ca="1" si="8"/>
        <v/>
      </c>
      <c r="U316" s="2" t="str" cm="1">
        <f t="array" ref="U316">IF(N316&lt;&gt;"yes", "", IFERROR((T316 - INDEX(T$2:T316, MATCH(TRUE, INDEX((T$2:T316&lt;&gt;"")*(N$2:N316="yes"), 0), 0))) * 1440 / COUNTIF(N$2:N316, "yes"), ""))</f>
        <v/>
      </c>
    </row>
    <row r="317" spans="18:21" x14ac:dyDescent="0.25">
      <c r="R317" s="2" t="str">
        <f t="shared" si="9"/>
        <v/>
      </c>
      <c r="S317" s="2" t="str" cm="1">
        <f t="array" aca="1" ref="S317" ca="1">IF(T317&lt;&gt;"", IFERROR((T317 - MAX(_xlfn._xlws.FILTER(T$2:T316, N$2:N316 = "yes"))) * 24 * 60, ""), "")</f>
        <v/>
      </c>
      <c r="T317" s="2" t="str">
        <f t="shared" ca="1" si="8"/>
        <v/>
      </c>
      <c r="U317" s="2" t="str" cm="1">
        <f t="array" ref="U317">IF(N317&lt;&gt;"yes", "", IFERROR((T317 - INDEX(T$2:T317, MATCH(TRUE, INDEX((T$2:T317&lt;&gt;"")*(N$2:N317="yes"), 0), 0))) * 1440 / COUNTIF(N$2:N317, "yes"), ""))</f>
        <v/>
      </c>
    </row>
    <row r="318" spans="18:21" x14ac:dyDescent="0.25">
      <c r="R318" s="2" t="str">
        <f t="shared" si="9"/>
        <v/>
      </c>
      <c r="S318" s="2" t="str" cm="1">
        <f t="array" aca="1" ref="S318" ca="1">IF(T318&lt;&gt;"", IFERROR((T318 - MAX(_xlfn._xlws.FILTER(T$2:T317, N$2:N317 = "yes"))) * 24 * 60, ""), "")</f>
        <v/>
      </c>
      <c r="T318" s="2" t="str">
        <f t="shared" ca="1" si="8"/>
        <v/>
      </c>
      <c r="U318" s="2" t="str" cm="1">
        <f t="array" ref="U318">IF(N318&lt;&gt;"yes", "", IFERROR((T318 - INDEX(T$2:T318, MATCH(TRUE, INDEX((T$2:T318&lt;&gt;"")*(N$2:N318="yes"), 0), 0))) * 1440 / COUNTIF(N$2:N318, "yes"), ""))</f>
        <v/>
      </c>
    </row>
    <row r="319" spans="18:21" x14ac:dyDescent="0.25">
      <c r="R319" s="2" t="str">
        <f t="shared" si="9"/>
        <v/>
      </c>
      <c r="S319" s="2" t="str" cm="1">
        <f t="array" aca="1" ref="S319" ca="1">IF(T319&lt;&gt;"", IFERROR((T319 - MAX(_xlfn._xlws.FILTER(T$2:T318, N$2:N318 = "yes"))) * 24 * 60, ""), "")</f>
        <v/>
      </c>
      <c r="T319" s="2" t="str">
        <f t="shared" ca="1" si="8"/>
        <v/>
      </c>
      <c r="U319" s="2" t="str" cm="1">
        <f t="array" ref="U319">IF(N319&lt;&gt;"yes", "", IFERROR((T319 - INDEX(T$2:T319, MATCH(TRUE, INDEX((T$2:T319&lt;&gt;"")*(N$2:N319="yes"), 0), 0))) * 1440 / COUNTIF(N$2:N319, "yes"), ""))</f>
        <v/>
      </c>
    </row>
    <row r="320" spans="18:21" x14ac:dyDescent="0.25">
      <c r="R320" s="2" t="str">
        <f t="shared" si="9"/>
        <v/>
      </c>
      <c r="S320" s="2" t="str" cm="1">
        <f t="array" aca="1" ref="S320" ca="1">IF(T320&lt;&gt;"", IFERROR((T320 - MAX(_xlfn._xlws.FILTER(T$2:T319, N$2:N319 = "yes"))) * 24 * 60, ""), "")</f>
        <v/>
      </c>
      <c r="T320" s="2" t="str">
        <f t="shared" ca="1" si="8"/>
        <v/>
      </c>
      <c r="U320" s="2" t="str" cm="1">
        <f t="array" ref="U320">IF(N320&lt;&gt;"yes", "", IFERROR((T320 - INDEX(T$2:T320, MATCH(TRUE, INDEX((T$2:T320&lt;&gt;"")*(N$2:N320="yes"), 0), 0))) * 1440 / COUNTIF(N$2:N320, "yes"), ""))</f>
        <v/>
      </c>
    </row>
    <row r="321" spans="18:21" x14ac:dyDescent="0.25">
      <c r="R321" s="2" t="str">
        <f t="shared" si="9"/>
        <v/>
      </c>
      <c r="S321" s="2" t="str" cm="1">
        <f t="array" aca="1" ref="S321" ca="1">IF(T321&lt;&gt;"", IFERROR((T321 - MAX(_xlfn._xlws.FILTER(T$2:T320, N$2:N320 = "yes"))) * 24 * 60, ""), "")</f>
        <v/>
      </c>
      <c r="T321" s="2" t="str">
        <f t="shared" ca="1" si="8"/>
        <v/>
      </c>
      <c r="U321" s="2" t="str" cm="1">
        <f t="array" ref="U321">IF(N321&lt;&gt;"yes", "", IFERROR((T321 - INDEX(T$2:T321, MATCH(TRUE, INDEX((T$2:T321&lt;&gt;"")*(N$2:N321="yes"), 0), 0))) * 1440 / COUNTIF(N$2:N321, "yes"), ""))</f>
        <v/>
      </c>
    </row>
    <row r="322" spans="18:21" x14ac:dyDescent="0.25">
      <c r="R322" s="2" t="str">
        <f t="shared" si="9"/>
        <v/>
      </c>
      <c r="S322" s="2" t="str" cm="1">
        <f t="array" aca="1" ref="S322" ca="1">IF(T322&lt;&gt;"", IFERROR((T322 - MAX(_xlfn._xlws.FILTER(T$2:T321, N$2:N321 = "yes"))) * 24 * 60, ""), "")</f>
        <v/>
      </c>
      <c r="T322" s="2" t="str">
        <f t="shared" ref="T322:T385" ca="1" si="10">IF(N322="yes", NOW(), "")</f>
        <v/>
      </c>
      <c r="U322" s="2" t="str" cm="1">
        <f t="array" ref="U322">IF(N322&lt;&gt;"yes", "", IFERROR((T322 - INDEX(T$2:T322, MATCH(TRUE, INDEX((T$2:T322&lt;&gt;"")*(N$2:N322="yes"), 0), 0))) * 1440 / COUNTIF(N$2:N322, "yes"), ""))</f>
        <v/>
      </c>
    </row>
    <row r="323" spans="18:21" x14ac:dyDescent="0.25">
      <c r="R323" s="2" t="str">
        <f t="shared" si="9"/>
        <v/>
      </c>
      <c r="S323" s="2" t="str" cm="1">
        <f t="array" aca="1" ref="S323" ca="1">IF(T323&lt;&gt;"", IFERROR((T323 - MAX(_xlfn._xlws.FILTER(T$2:T322, N$2:N322 = "yes"))) * 24 * 60, ""), "")</f>
        <v/>
      </c>
      <c r="T323" s="2" t="str">
        <f t="shared" ca="1" si="10"/>
        <v/>
      </c>
      <c r="U323" s="2" t="str" cm="1">
        <f t="array" ref="U323">IF(N323&lt;&gt;"yes", "", IFERROR((T323 - INDEX(T$2:T323, MATCH(TRUE, INDEX((T$2:T323&lt;&gt;"")*(N$2:N323="yes"), 0), 0))) * 1440 / COUNTIF(N$2:N323, "yes"), ""))</f>
        <v/>
      </c>
    </row>
    <row r="324" spans="18:21" x14ac:dyDescent="0.25">
      <c r="R324" s="2" t="str">
        <f t="shared" ref="R324:R372" si="11">IF(AND(ISNUMBER(P324), ISNUMBER(Q324)), (Q324 - P324) * 24 * 60, "")</f>
        <v/>
      </c>
      <c r="S324" s="2" t="str" cm="1">
        <f t="array" aca="1" ref="S324" ca="1">IF(T324&lt;&gt;"", IFERROR((T324 - MAX(_xlfn._xlws.FILTER(T$2:T323, N$2:N323 = "yes"))) * 24 * 60, ""), "")</f>
        <v/>
      </c>
      <c r="T324" s="2" t="str">
        <f t="shared" ca="1" si="10"/>
        <v/>
      </c>
      <c r="U324" s="2" t="str" cm="1">
        <f t="array" ref="U324">IF(N324&lt;&gt;"yes", "", IFERROR((T324 - INDEX(T$2:T324, MATCH(TRUE, INDEX((T$2:T324&lt;&gt;"")*(N$2:N324="yes"), 0), 0))) * 1440 / COUNTIF(N$2:N324, "yes"), ""))</f>
        <v/>
      </c>
    </row>
    <row r="325" spans="18:21" x14ac:dyDescent="0.25">
      <c r="R325" s="2" t="str">
        <f t="shared" si="11"/>
        <v/>
      </c>
      <c r="S325" s="2" t="str" cm="1">
        <f t="array" aca="1" ref="S325" ca="1">IF(T325&lt;&gt;"", IFERROR((T325 - MAX(_xlfn._xlws.FILTER(T$2:T324, N$2:N324 = "yes"))) * 24 * 60, ""), "")</f>
        <v/>
      </c>
      <c r="T325" s="2" t="str">
        <f t="shared" ca="1" si="10"/>
        <v/>
      </c>
      <c r="U325" s="2" t="str" cm="1">
        <f t="array" ref="U325">IF(N325&lt;&gt;"yes", "", IFERROR((T325 - INDEX(T$2:T325, MATCH(TRUE, INDEX((T$2:T325&lt;&gt;"")*(N$2:N325="yes"), 0), 0))) * 1440 / COUNTIF(N$2:N325, "yes"), ""))</f>
        <v/>
      </c>
    </row>
    <row r="326" spans="18:21" x14ac:dyDescent="0.25">
      <c r="R326" s="2" t="str">
        <f t="shared" si="11"/>
        <v/>
      </c>
      <c r="S326" s="2" t="str" cm="1">
        <f t="array" aca="1" ref="S326" ca="1">IF(T326&lt;&gt;"", IFERROR((T326 - MAX(_xlfn._xlws.FILTER(T$2:T325, N$2:N325 = "yes"))) * 24 * 60, ""), "")</f>
        <v/>
      </c>
      <c r="T326" s="2" t="str">
        <f t="shared" ca="1" si="10"/>
        <v/>
      </c>
      <c r="U326" s="2" t="str" cm="1">
        <f t="array" ref="U326">IF(N326&lt;&gt;"yes", "", IFERROR((T326 - INDEX(T$2:T326, MATCH(TRUE, INDEX((T$2:T326&lt;&gt;"")*(N$2:N326="yes"), 0), 0))) * 1440 / COUNTIF(N$2:N326, "yes"), ""))</f>
        <v/>
      </c>
    </row>
    <row r="327" spans="18:21" x14ac:dyDescent="0.25">
      <c r="R327" s="2" t="str">
        <f t="shared" si="11"/>
        <v/>
      </c>
      <c r="S327" s="2" t="str" cm="1">
        <f t="array" aca="1" ref="S327" ca="1">IF(T327&lt;&gt;"", IFERROR((T327 - MAX(_xlfn._xlws.FILTER(T$2:T326, N$2:N326 = "yes"))) * 24 * 60, ""), "")</f>
        <v/>
      </c>
      <c r="T327" s="2" t="str">
        <f t="shared" ca="1" si="10"/>
        <v/>
      </c>
      <c r="U327" s="2" t="str" cm="1">
        <f t="array" ref="U327">IF(N327&lt;&gt;"yes", "", IFERROR((T327 - INDEX(T$2:T327, MATCH(TRUE, INDEX((T$2:T327&lt;&gt;"")*(N$2:N327="yes"), 0), 0))) * 1440 / COUNTIF(N$2:N327, "yes"), ""))</f>
        <v/>
      </c>
    </row>
    <row r="328" spans="18:21" x14ac:dyDescent="0.25">
      <c r="R328" s="2" t="str">
        <f t="shared" si="11"/>
        <v/>
      </c>
      <c r="S328" s="2" t="str" cm="1">
        <f t="array" aca="1" ref="S328" ca="1">IF(T328&lt;&gt;"", IFERROR((T328 - MAX(_xlfn._xlws.FILTER(T$2:T327, N$2:N327 = "yes"))) * 24 * 60, ""), "")</f>
        <v/>
      </c>
      <c r="T328" s="2" t="str">
        <f t="shared" ca="1" si="10"/>
        <v/>
      </c>
      <c r="U328" s="2" t="str" cm="1">
        <f t="array" ref="U328">IF(N328&lt;&gt;"yes", "", IFERROR((T328 - INDEX(T$2:T328, MATCH(TRUE, INDEX((T$2:T328&lt;&gt;"")*(N$2:N328="yes"), 0), 0))) * 1440 / COUNTIF(N$2:N328, "yes"), ""))</f>
        <v/>
      </c>
    </row>
    <row r="329" spans="18:21" x14ac:dyDescent="0.25">
      <c r="R329" s="2" t="str">
        <f t="shared" si="11"/>
        <v/>
      </c>
      <c r="S329" s="2" t="str" cm="1">
        <f t="array" aca="1" ref="S329" ca="1">IF(T329&lt;&gt;"", IFERROR((T329 - MAX(_xlfn._xlws.FILTER(T$2:T328, N$2:N328 = "yes"))) * 24 * 60, ""), "")</f>
        <v/>
      </c>
      <c r="T329" s="2" t="str">
        <f t="shared" ca="1" si="10"/>
        <v/>
      </c>
      <c r="U329" s="2" t="str" cm="1">
        <f t="array" ref="U329">IF(N329&lt;&gt;"yes", "", IFERROR((T329 - INDEX(T$2:T329, MATCH(TRUE, INDEX((T$2:T329&lt;&gt;"")*(N$2:N329="yes"), 0), 0))) * 1440 / COUNTIF(N$2:N329, "yes"), ""))</f>
        <v/>
      </c>
    </row>
    <row r="330" spans="18:21" x14ac:dyDescent="0.25">
      <c r="R330" s="2" t="str">
        <f t="shared" si="11"/>
        <v/>
      </c>
      <c r="S330" s="2" t="str" cm="1">
        <f t="array" aca="1" ref="S330" ca="1">IF(T330&lt;&gt;"", IFERROR((T330 - MAX(_xlfn._xlws.FILTER(T$2:T329, N$2:N329 = "yes"))) * 24 * 60, ""), "")</f>
        <v/>
      </c>
      <c r="T330" s="2" t="str">
        <f t="shared" ca="1" si="10"/>
        <v/>
      </c>
      <c r="U330" s="2" t="str" cm="1">
        <f t="array" ref="U330">IF(N330&lt;&gt;"yes", "", IFERROR((T330 - INDEX(T$2:T330, MATCH(TRUE, INDEX((T$2:T330&lt;&gt;"")*(N$2:N330="yes"), 0), 0))) * 1440 / COUNTIF(N$2:N330, "yes"), ""))</f>
        <v/>
      </c>
    </row>
    <row r="331" spans="18:21" x14ac:dyDescent="0.25">
      <c r="R331" s="2" t="str">
        <f t="shared" si="11"/>
        <v/>
      </c>
      <c r="S331" s="2" t="str" cm="1">
        <f t="array" aca="1" ref="S331" ca="1">IF(T331&lt;&gt;"", IFERROR((T331 - MAX(_xlfn._xlws.FILTER(T$2:T330, N$2:N330 = "yes"))) * 24 * 60, ""), "")</f>
        <v/>
      </c>
      <c r="T331" s="2" t="str">
        <f t="shared" ca="1" si="10"/>
        <v/>
      </c>
      <c r="U331" s="2" t="str" cm="1">
        <f t="array" ref="U331">IF(N331&lt;&gt;"yes", "", IFERROR((T331 - INDEX(T$2:T331, MATCH(TRUE, INDEX((T$2:T331&lt;&gt;"")*(N$2:N331="yes"), 0), 0))) * 1440 / COUNTIF(N$2:N331, "yes"), ""))</f>
        <v/>
      </c>
    </row>
    <row r="332" spans="18:21" x14ac:dyDescent="0.25">
      <c r="R332" s="2" t="str">
        <f t="shared" si="11"/>
        <v/>
      </c>
      <c r="S332" s="2" t="str" cm="1">
        <f t="array" aca="1" ref="S332" ca="1">IF(T332&lt;&gt;"", IFERROR((T332 - MAX(_xlfn._xlws.FILTER(T$2:T331, N$2:N331 = "yes"))) * 24 * 60, ""), "")</f>
        <v/>
      </c>
      <c r="T332" s="2" t="str">
        <f t="shared" ca="1" si="10"/>
        <v/>
      </c>
      <c r="U332" s="2" t="str" cm="1">
        <f t="array" ref="U332">IF(N332&lt;&gt;"yes", "", IFERROR((T332 - INDEX(T$2:T332, MATCH(TRUE, INDEX((T$2:T332&lt;&gt;"")*(N$2:N332="yes"), 0), 0))) * 1440 / COUNTIF(N$2:N332, "yes"), ""))</f>
        <v/>
      </c>
    </row>
    <row r="333" spans="18:21" x14ac:dyDescent="0.25">
      <c r="R333" s="2" t="str">
        <f t="shared" si="11"/>
        <v/>
      </c>
      <c r="S333" s="2" t="str" cm="1">
        <f t="array" aca="1" ref="S333" ca="1">IF(T333&lt;&gt;"", IFERROR((T333 - MAX(_xlfn._xlws.FILTER(T$2:T332, N$2:N332 = "yes"))) * 24 * 60, ""), "")</f>
        <v/>
      </c>
      <c r="T333" s="2" t="str">
        <f t="shared" ca="1" si="10"/>
        <v/>
      </c>
      <c r="U333" s="2" t="str" cm="1">
        <f t="array" ref="U333">IF(N333&lt;&gt;"yes", "", IFERROR((T333 - INDEX(T$2:T333, MATCH(TRUE, INDEX((T$2:T333&lt;&gt;"")*(N$2:N333="yes"), 0), 0))) * 1440 / COUNTIF(N$2:N333, "yes"), ""))</f>
        <v/>
      </c>
    </row>
    <row r="334" spans="18:21" x14ac:dyDescent="0.25">
      <c r="R334" s="2" t="str">
        <f t="shared" si="11"/>
        <v/>
      </c>
      <c r="S334" s="2" t="str" cm="1">
        <f t="array" aca="1" ref="S334" ca="1">IF(T334&lt;&gt;"", IFERROR((T334 - MAX(_xlfn._xlws.FILTER(T$2:T333, N$2:N333 = "yes"))) * 24 * 60, ""), "")</f>
        <v/>
      </c>
      <c r="T334" s="2" t="str">
        <f t="shared" ca="1" si="10"/>
        <v/>
      </c>
      <c r="U334" s="2" t="str" cm="1">
        <f t="array" ref="U334">IF(N334&lt;&gt;"yes", "", IFERROR((T334 - INDEX(T$2:T334, MATCH(TRUE, INDEX((T$2:T334&lt;&gt;"")*(N$2:N334="yes"), 0), 0))) * 1440 / COUNTIF(N$2:N334, "yes"), ""))</f>
        <v/>
      </c>
    </row>
    <row r="335" spans="18:21" x14ac:dyDescent="0.25">
      <c r="R335" s="2" t="str">
        <f t="shared" si="11"/>
        <v/>
      </c>
      <c r="S335" s="2" t="str" cm="1">
        <f t="array" aca="1" ref="S335" ca="1">IF(T335&lt;&gt;"", IFERROR((T335 - MAX(_xlfn._xlws.FILTER(T$2:T334, N$2:N334 = "yes"))) * 24 * 60, ""), "")</f>
        <v/>
      </c>
      <c r="T335" s="2" t="str">
        <f t="shared" ca="1" si="10"/>
        <v/>
      </c>
      <c r="U335" s="2" t="str" cm="1">
        <f t="array" ref="U335">IF(N335&lt;&gt;"yes", "", IFERROR((T335 - INDEX(T$2:T335, MATCH(TRUE, INDEX((T$2:T335&lt;&gt;"")*(N$2:N335="yes"), 0), 0))) * 1440 / COUNTIF(N$2:N335, "yes"), ""))</f>
        <v/>
      </c>
    </row>
    <row r="336" spans="18:21" x14ac:dyDescent="0.25">
      <c r="R336" s="2" t="str">
        <f t="shared" si="11"/>
        <v/>
      </c>
      <c r="S336" s="2" t="str" cm="1">
        <f t="array" aca="1" ref="S336" ca="1">IF(T336&lt;&gt;"", IFERROR((T336 - MAX(_xlfn._xlws.FILTER(T$2:T335, N$2:N335 = "yes"))) * 24 * 60, ""), "")</f>
        <v/>
      </c>
      <c r="T336" s="2" t="str">
        <f t="shared" ca="1" si="10"/>
        <v/>
      </c>
      <c r="U336" s="2" t="str" cm="1">
        <f t="array" ref="U336">IF(N336&lt;&gt;"yes", "", IFERROR((T336 - INDEX(T$2:T336, MATCH(TRUE, INDEX((T$2:T336&lt;&gt;"")*(N$2:N336="yes"), 0), 0))) * 1440 / COUNTIF(N$2:N336, "yes"), ""))</f>
        <v/>
      </c>
    </row>
    <row r="337" spans="18:21" x14ac:dyDescent="0.25">
      <c r="R337" s="2" t="str">
        <f t="shared" si="11"/>
        <v/>
      </c>
      <c r="S337" s="2" t="str" cm="1">
        <f t="array" aca="1" ref="S337" ca="1">IF(T337&lt;&gt;"", IFERROR((T337 - MAX(_xlfn._xlws.FILTER(T$2:T336, N$2:N336 = "yes"))) * 24 * 60, ""), "")</f>
        <v/>
      </c>
      <c r="T337" s="2" t="str">
        <f t="shared" ca="1" si="10"/>
        <v/>
      </c>
      <c r="U337" s="2" t="str" cm="1">
        <f t="array" ref="U337">IF(N337&lt;&gt;"yes", "", IFERROR((T337 - INDEX(T$2:T337, MATCH(TRUE, INDEX((T$2:T337&lt;&gt;"")*(N$2:N337="yes"), 0), 0))) * 1440 / COUNTIF(N$2:N337, "yes"), ""))</f>
        <v/>
      </c>
    </row>
    <row r="338" spans="18:21" x14ac:dyDescent="0.25">
      <c r="R338" s="2" t="str">
        <f t="shared" si="11"/>
        <v/>
      </c>
      <c r="S338" s="2" t="str" cm="1">
        <f t="array" aca="1" ref="S338" ca="1">IF(T338&lt;&gt;"", IFERROR((T338 - MAX(_xlfn._xlws.FILTER(T$2:T337, N$2:N337 = "yes"))) * 24 * 60, ""), "")</f>
        <v/>
      </c>
      <c r="T338" s="2" t="str">
        <f t="shared" ca="1" si="10"/>
        <v/>
      </c>
      <c r="U338" s="2" t="str" cm="1">
        <f t="array" ref="U338">IF(N338&lt;&gt;"yes", "", IFERROR((T338 - INDEX(T$2:T338, MATCH(TRUE, INDEX((T$2:T338&lt;&gt;"")*(N$2:N338="yes"), 0), 0))) * 1440 / COUNTIF(N$2:N338, "yes"), ""))</f>
        <v/>
      </c>
    </row>
    <row r="339" spans="18:21" x14ac:dyDescent="0.25">
      <c r="R339" s="2" t="str">
        <f t="shared" si="11"/>
        <v/>
      </c>
      <c r="S339" s="2" t="str" cm="1">
        <f t="array" aca="1" ref="S339" ca="1">IF(T339&lt;&gt;"", IFERROR((T339 - MAX(_xlfn._xlws.FILTER(T$2:T338, N$2:N338 = "yes"))) * 24 * 60, ""), "")</f>
        <v/>
      </c>
      <c r="T339" s="2" t="str">
        <f t="shared" ca="1" si="10"/>
        <v/>
      </c>
      <c r="U339" s="2" t="str" cm="1">
        <f t="array" ref="U339">IF(N339&lt;&gt;"yes", "", IFERROR((T339 - INDEX(T$2:T339, MATCH(TRUE, INDEX((T$2:T339&lt;&gt;"")*(N$2:N339="yes"), 0), 0))) * 1440 / COUNTIF(N$2:N339, "yes"), ""))</f>
        <v/>
      </c>
    </row>
    <row r="340" spans="18:21" x14ac:dyDescent="0.25">
      <c r="R340" s="2" t="str">
        <f t="shared" si="11"/>
        <v/>
      </c>
      <c r="S340" s="2" t="str" cm="1">
        <f t="array" aca="1" ref="S340" ca="1">IF(T340&lt;&gt;"", IFERROR((T340 - MAX(_xlfn._xlws.FILTER(T$2:T339, N$2:N339 = "yes"))) * 24 * 60, ""), "")</f>
        <v/>
      </c>
      <c r="T340" s="2" t="str">
        <f t="shared" ca="1" si="10"/>
        <v/>
      </c>
      <c r="U340" s="2" t="str" cm="1">
        <f t="array" ref="U340">IF(N340&lt;&gt;"yes", "", IFERROR((T340 - INDEX(T$2:T340, MATCH(TRUE, INDEX((T$2:T340&lt;&gt;"")*(N$2:N340="yes"), 0), 0))) * 1440 / COUNTIF(N$2:N340, "yes"), ""))</f>
        <v/>
      </c>
    </row>
    <row r="341" spans="18:21" x14ac:dyDescent="0.25">
      <c r="R341" s="2" t="str">
        <f t="shared" si="11"/>
        <v/>
      </c>
      <c r="S341" s="2" t="str" cm="1">
        <f t="array" aca="1" ref="S341" ca="1">IF(T341&lt;&gt;"", IFERROR((T341 - MAX(_xlfn._xlws.FILTER(T$2:T340, N$2:N340 = "yes"))) * 24 * 60, ""), "")</f>
        <v/>
      </c>
      <c r="T341" s="2" t="str">
        <f t="shared" ca="1" si="10"/>
        <v/>
      </c>
      <c r="U341" s="2" t="str" cm="1">
        <f t="array" ref="U341">IF(N341&lt;&gt;"yes", "", IFERROR((T341 - INDEX(T$2:T341, MATCH(TRUE, INDEX((T$2:T341&lt;&gt;"")*(N$2:N341="yes"), 0), 0))) * 1440 / COUNTIF(N$2:N341, "yes"), ""))</f>
        <v/>
      </c>
    </row>
    <row r="342" spans="18:21" x14ac:dyDescent="0.25">
      <c r="R342" s="2" t="str">
        <f t="shared" si="11"/>
        <v/>
      </c>
      <c r="S342" s="2" t="str" cm="1">
        <f t="array" aca="1" ref="S342" ca="1">IF(T342&lt;&gt;"", IFERROR((T342 - MAX(_xlfn._xlws.FILTER(T$2:T341, N$2:N341 = "yes"))) * 24 * 60, ""), "")</f>
        <v/>
      </c>
      <c r="T342" s="2" t="str">
        <f t="shared" ca="1" si="10"/>
        <v/>
      </c>
      <c r="U342" s="2" t="str" cm="1">
        <f t="array" ref="U342">IF(N342&lt;&gt;"yes", "", IFERROR((T342 - INDEX(T$2:T342, MATCH(TRUE, INDEX((T$2:T342&lt;&gt;"")*(N$2:N342="yes"), 0), 0))) * 1440 / COUNTIF(N$2:N342, "yes"), ""))</f>
        <v/>
      </c>
    </row>
    <row r="343" spans="18:21" x14ac:dyDescent="0.25">
      <c r="R343" s="2" t="str">
        <f t="shared" si="11"/>
        <v/>
      </c>
      <c r="S343" s="2" t="str" cm="1">
        <f t="array" aca="1" ref="S343" ca="1">IF(T343&lt;&gt;"", IFERROR((T343 - MAX(_xlfn._xlws.FILTER(T$2:T342, N$2:N342 = "yes"))) * 24 * 60, ""), "")</f>
        <v/>
      </c>
      <c r="T343" s="2" t="str">
        <f t="shared" ca="1" si="10"/>
        <v/>
      </c>
      <c r="U343" s="2" t="str" cm="1">
        <f t="array" ref="U343">IF(N343&lt;&gt;"yes", "", IFERROR((T343 - INDEX(T$2:T343, MATCH(TRUE, INDEX((T$2:T343&lt;&gt;"")*(N$2:N343="yes"), 0), 0))) * 1440 / COUNTIF(N$2:N343, "yes"), ""))</f>
        <v/>
      </c>
    </row>
    <row r="344" spans="18:21" x14ac:dyDescent="0.25">
      <c r="R344" s="2" t="str">
        <f t="shared" si="11"/>
        <v/>
      </c>
      <c r="S344" s="2" t="str" cm="1">
        <f t="array" aca="1" ref="S344" ca="1">IF(T344&lt;&gt;"", IFERROR((T344 - MAX(_xlfn._xlws.FILTER(T$2:T343, N$2:N343 = "yes"))) * 24 * 60, ""), "")</f>
        <v/>
      </c>
      <c r="T344" s="2" t="str">
        <f t="shared" ca="1" si="10"/>
        <v/>
      </c>
      <c r="U344" s="2" t="str" cm="1">
        <f t="array" ref="U344">IF(N344&lt;&gt;"yes", "", IFERROR((T344 - INDEX(T$2:T344, MATCH(TRUE, INDEX((T$2:T344&lt;&gt;"")*(N$2:N344="yes"), 0), 0))) * 1440 / COUNTIF(N$2:N344, "yes"), ""))</f>
        <v/>
      </c>
    </row>
    <row r="345" spans="18:21" x14ac:dyDescent="0.25">
      <c r="R345" s="2" t="str">
        <f t="shared" si="11"/>
        <v/>
      </c>
      <c r="S345" s="2" t="str" cm="1">
        <f t="array" aca="1" ref="S345" ca="1">IF(T345&lt;&gt;"", IFERROR((T345 - MAX(_xlfn._xlws.FILTER(T$2:T344, N$2:N344 = "yes"))) * 24 * 60, ""), "")</f>
        <v/>
      </c>
      <c r="T345" s="2" t="str">
        <f t="shared" ca="1" si="10"/>
        <v/>
      </c>
      <c r="U345" s="2" t="str" cm="1">
        <f t="array" ref="U345">IF(N345&lt;&gt;"yes", "", IFERROR((T345 - INDEX(T$2:T345, MATCH(TRUE, INDEX((T$2:T345&lt;&gt;"")*(N$2:N345="yes"), 0), 0))) * 1440 / COUNTIF(N$2:N345, "yes"), ""))</f>
        <v/>
      </c>
    </row>
    <row r="346" spans="18:21" x14ac:dyDescent="0.25">
      <c r="R346" s="2" t="str">
        <f t="shared" si="11"/>
        <v/>
      </c>
      <c r="S346" s="2" t="str" cm="1">
        <f t="array" aca="1" ref="S346" ca="1">IF(T346&lt;&gt;"", IFERROR((T346 - MAX(_xlfn._xlws.FILTER(T$2:T345, N$2:N345 = "yes"))) * 24 * 60, ""), "")</f>
        <v/>
      </c>
      <c r="T346" s="2" t="str">
        <f t="shared" ca="1" si="10"/>
        <v/>
      </c>
      <c r="U346" s="2" t="str" cm="1">
        <f t="array" ref="U346">IF(N346&lt;&gt;"yes", "", IFERROR((T346 - INDEX(T$2:T346, MATCH(TRUE, INDEX((T$2:T346&lt;&gt;"")*(N$2:N346="yes"), 0), 0))) * 1440 / COUNTIF(N$2:N346, "yes"), ""))</f>
        <v/>
      </c>
    </row>
    <row r="347" spans="18:21" x14ac:dyDescent="0.25">
      <c r="R347" s="2" t="str">
        <f t="shared" si="11"/>
        <v/>
      </c>
      <c r="S347" s="2" t="str" cm="1">
        <f t="array" aca="1" ref="S347" ca="1">IF(T347&lt;&gt;"", IFERROR((T347 - MAX(_xlfn._xlws.FILTER(T$2:T346, N$2:N346 = "yes"))) * 24 * 60, ""), "")</f>
        <v/>
      </c>
      <c r="T347" s="2" t="str">
        <f t="shared" ca="1" si="10"/>
        <v/>
      </c>
      <c r="U347" s="2" t="str" cm="1">
        <f t="array" ref="U347">IF(N347&lt;&gt;"yes", "", IFERROR((T347 - INDEX(T$2:T347, MATCH(TRUE, INDEX((T$2:T347&lt;&gt;"")*(N$2:N347="yes"), 0), 0))) * 1440 / COUNTIF(N$2:N347, "yes"), ""))</f>
        <v/>
      </c>
    </row>
    <row r="348" spans="18:21" x14ac:dyDescent="0.25">
      <c r="R348" s="2" t="str">
        <f t="shared" si="11"/>
        <v/>
      </c>
      <c r="S348" s="2" t="str" cm="1">
        <f t="array" aca="1" ref="S348" ca="1">IF(T348&lt;&gt;"", IFERROR((T348 - MAX(_xlfn._xlws.FILTER(T$2:T347, N$2:N347 = "yes"))) * 24 * 60, ""), "")</f>
        <v/>
      </c>
      <c r="T348" s="2" t="str">
        <f t="shared" ca="1" si="10"/>
        <v/>
      </c>
      <c r="U348" s="2" t="str" cm="1">
        <f t="array" ref="U348">IF(N348&lt;&gt;"yes", "", IFERROR((T348 - INDEX(T$2:T348, MATCH(TRUE, INDEX((T$2:T348&lt;&gt;"")*(N$2:N348="yes"), 0), 0))) * 1440 / COUNTIF(N$2:N348, "yes"), ""))</f>
        <v/>
      </c>
    </row>
    <row r="349" spans="18:21" x14ac:dyDescent="0.25">
      <c r="R349" s="2" t="str">
        <f t="shared" si="11"/>
        <v/>
      </c>
      <c r="S349" s="2" t="str" cm="1">
        <f t="array" aca="1" ref="S349" ca="1">IF(T349&lt;&gt;"", IFERROR((T349 - MAX(_xlfn._xlws.FILTER(T$2:T348, N$2:N348 = "yes"))) * 24 * 60, ""), "")</f>
        <v/>
      </c>
      <c r="T349" s="2" t="str">
        <f t="shared" ca="1" si="10"/>
        <v/>
      </c>
      <c r="U349" s="2" t="str" cm="1">
        <f t="array" ref="U349">IF(N349&lt;&gt;"yes", "", IFERROR((T349 - INDEX(T$2:T349, MATCH(TRUE, INDEX((T$2:T349&lt;&gt;"")*(N$2:N349="yes"), 0), 0))) * 1440 / COUNTIF(N$2:N349, "yes"), ""))</f>
        <v/>
      </c>
    </row>
    <row r="350" spans="18:21" x14ac:dyDescent="0.25">
      <c r="R350" s="2" t="str">
        <f t="shared" si="11"/>
        <v/>
      </c>
      <c r="S350" s="2" t="str" cm="1">
        <f t="array" aca="1" ref="S350" ca="1">IF(T350&lt;&gt;"", IFERROR((T350 - MAX(_xlfn._xlws.FILTER(T$2:T349, N$2:N349 = "yes"))) * 24 * 60, ""), "")</f>
        <v/>
      </c>
      <c r="T350" s="2" t="str">
        <f t="shared" ca="1" si="10"/>
        <v/>
      </c>
      <c r="U350" s="2" t="str" cm="1">
        <f t="array" ref="U350">IF(N350&lt;&gt;"yes", "", IFERROR((T350 - INDEX(T$2:T350, MATCH(TRUE, INDEX((T$2:T350&lt;&gt;"")*(N$2:N350="yes"), 0), 0))) * 1440 / COUNTIF(N$2:N350, "yes"), ""))</f>
        <v/>
      </c>
    </row>
    <row r="351" spans="18:21" x14ac:dyDescent="0.25">
      <c r="R351" s="2" t="str">
        <f t="shared" si="11"/>
        <v/>
      </c>
      <c r="S351" s="2" t="str" cm="1">
        <f t="array" aca="1" ref="S351" ca="1">IF(T351&lt;&gt;"", IFERROR((T351 - MAX(_xlfn._xlws.FILTER(T$2:T350, N$2:N350 = "yes"))) * 24 * 60, ""), "")</f>
        <v/>
      </c>
      <c r="T351" s="2" t="str">
        <f t="shared" ca="1" si="10"/>
        <v/>
      </c>
      <c r="U351" s="2" t="str" cm="1">
        <f t="array" ref="U351">IF(N351&lt;&gt;"yes", "", IFERROR((T351 - INDEX(T$2:T351, MATCH(TRUE, INDEX((T$2:T351&lt;&gt;"")*(N$2:N351="yes"), 0), 0))) * 1440 / COUNTIF(N$2:N351, "yes"), ""))</f>
        <v/>
      </c>
    </row>
    <row r="352" spans="18:21" x14ac:dyDescent="0.25">
      <c r="R352" s="2" t="str">
        <f t="shared" si="11"/>
        <v/>
      </c>
      <c r="S352" s="2" t="str" cm="1">
        <f t="array" aca="1" ref="S352" ca="1">IF(T352&lt;&gt;"", IFERROR((T352 - MAX(_xlfn._xlws.FILTER(T$2:T351, N$2:N351 = "yes"))) * 24 * 60, ""), "")</f>
        <v/>
      </c>
      <c r="T352" s="2" t="str">
        <f t="shared" ca="1" si="10"/>
        <v/>
      </c>
      <c r="U352" s="2" t="str" cm="1">
        <f t="array" ref="U352">IF(N352&lt;&gt;"yes", "", IFERROR((T352 - INDEX(T$2:T352, MATCH(TRUE, INDEX((T$2:T352&lt;&gt;"")*(N$2:N352="yes"), 0), 0))) * 1440 / COUNTIF(N$2:N352, "yes"), ""))</f>
        <v/>
      </c>
    </row>
    <row r="353" spans="18:21" x14ac:dyDescent="0.25">
      <c r="R353" s="2" t="str">
        <f t="shared" si="11"/>
        <v/>
      </c>
      <c r="S353" s="2" t="str" cm="1">
        <f t="array" aca="1" ref="S353" ca="1">IF(T353&lt;&gt;"", IFERROR((T353 - MAX(_xlfn._xlws.FILTER(T$2:T352, N$2:N352 = "yes"))) * 24 * 60, ""), "")</f>
        <v/>
      </c>
      <c r="T353" s="2" t="str">
        <f t="shared" ca="1" si="10"/>
        <v/>
      </c>
      <c r="U353" s="2" t="str" cm="1">
        <f t="array" ref="U353">IF(N353&lt;&gt;"yes", "", IFERROR((T353 - INDEX(T$2:T353, MATCH(TRUE, INDEX((T$2:T353&lt;&gt;"")*(N$2:N353="yes"), 0), 0))) * 1440 / COUNTIF(N$2:N353, "yes"), ""))</f>
        <v/>
      </c>
    </row>
    <row r="354" spans="18:21" x14ac:dyDescent="0.25">
      <c r="R354" s="2" t="str">
        <f t="shared" si="11"/>
        <v/>
      </c>
      <c r="S354" s="2" t="str" cm="1">
        <f t="array" aca="1" ref="S354" ca="1">IF(T354&lt;&gt;"", IFERROR((T354 - MAX(_xlfn._xlws.FILTER(T$2:T353, N$2:N353 = "yes"))) * 24 * 60, ""), "")</f>
        <v/>
      </c>
      <c r="T354" s="2" t="str">
        <f t="shared" ca="1" si="10"/>
        <v/>
      </c>
      <c r="U354" s="2" t="str" cm="1">
        <f t="array" ref="U354">IF(N354&lt;&gt;"yes", "", IFERROR((T354 - INDEX(T$2:T354, MATCH(TRUE, INDEX((T$2:T354&lt;&gt;"")*(N$2:N354="yes"), 0), 0))) * 1440 / COUNTIF(N$2:N354, "yes"), ""))</f>
        <v/>
      </c>
    </row>
    <row r="355" spans="18:21" x14ac:dyDescent="0.25">
      <c r="R355" s="2" t="str">
        <f t="shared" si="11"/>
        <v/>
      </c>
      <c r="S355" s="2" t="str" cm="1">
        <f t="array" aca="1" ref="S355" ca="1">IF(T355&lt;&gt;"", IFERROR((T355 - MAX(_xlfn._xlws.FILTER(T$2:T354, N$2:N354 = "yes"))) * 24 * 60, ""), "")</f>
        <v/>
      </c>
      <c r="T355" s="2" t="str">
        <f t="shared" ca="1" si="10"/>
        <v/>
      </c>
      <c r="U355" s="2" t="str" cm="1">
        <f t="array" ref="U355">IF(N355&lt;&gt;"yes", "", IFERROR((T355 - INDEX(T$2:T355, MATCH(TRUE, INDEX((T$2:T355&lt;&gt;"")*(N$2:N355="yes"), 0), 0))) * 1440 / COUNTIF(N$2:N355, "yes"), ""))</f>
        <v/>
      </c>
    </row>
    <row r="356" spans="18:21" x14ac:dyDescent="0.25">
      <c r="R356" s="2" t="str">
        <f t="shared" si="11"/>
        <v/>
      </c>
      <c r="S356" s="2" t="str" cm="1">
        <f t="array" aca="1" ref="S356" ca="1">IF(T356&lt;&gt;"", IFERROR((T356 - MAX(_xlfn._xlws.FILTER(T$2:T355, N$2:N355 = "yes"))) * 24 * 60, ""), "")</f>
        <v/>
      </c>
      <c r="T356" s="2" t="str">
        <f t="shared" ca="1" si="10"/>
        <v/>
      </c>
      <c r="U356" s="2" t="str" cm="1">
        <f t="array" ref="U356">IF(N356&lt;&gt;"yes", "", IFERROR((T356 - INDEX(T$2:T356, MATCH(TRUE, INDEX((T$2:T356&lt;&gt;"")*(N$2:N356="yes"), 0), 0))) * 1440 / COUNTIF(N$2:N356, "yes"), ""))</f>
        <v/>
      </c>
    </row>
    <row r="357" spans="18:21" x14ac:dyDescent="0.25">
      <c r="R357" s="2" t="str">
        <f t="shared" si="11"/>
        <v/>
      </c>
      <c r="S357" s="2" t="str" cm="1">
        <f t="array" aca="1" ref="S357" ca="1">IF(T357&lt;&gt;"", IFERROR((T357 - MAX(_xlfn._xlws.FILTER(T$2:T356, N$2:N356 = "yes"))) * 24 * 60, ""), "")</f>
        <v/>
      </c>
      <c r="T357" s="2" t="str">
        <f t="shared" ca="1" si="10"/>
        <v/>
      </c>
      <c r="U357" s="2" t="str" cm="1">
        <f t="array" ref="U357">IF(N357&lt;&gt;"yes", "", IFERROR((T357 - INDEX(T$2:T357, MATCH(TRUE, INDEX((T$2:T357&lt;&gt;"")*(N$2:N357="yes"), 0), 0))) * 1440 / COUNTIF(N$2:N357, "yes"), ""))</f>
        <v/>
      </c>
    </row>
    <row r="358" spans="18:21" x14ac:dyDescent="0.25">
      <c r="R358" s="2" t="str">
        <f t="shared" si="11"/>
        <v/>
      </c>
      <c r="S358" s="2" t="str" cm="1">
        <f t="array" aca="1" ref="S358" ca="1">IF(T358&lt;&gt;"", IFERROR((T358 - MAX(_xlfn._xlws.FILTER(T$2:T357, N$2:N357 = "yes"))) * 24 * 60, ""), "")</f>
        <v/>
      </c>
      <c r="T358" s="2" t="str">
        <f t="shared" ca="1" si="10"/>
        <v/>
      </c>
      <c r="U358" s="2" t="str" cm="1">
        <f t="array" ref="U358">IF(N358&lt;&gt;"yes", "", IFERROR((T358 - INDEX(T$2:T358, MATCH(TRUE, INDEX((T$2:T358&lt;&gt;"")*(N$2:N358="yes"), 0), 0))) * 1440 / COUNTIF(N$2:N358, "yes"), ""))</f>
        <v/>
      </c>
    </row>
    <row r="359" spans="18:21" x14ac:dyDescent="0.25">
      <c r="R359" s="2" t="str">
        <f t="shared" si="11"/>
        <v/>
      </c>
      <c r="S359" s="2" t="str" cm="1">
        <f t="array" aca="1" ref="S359" ca="1">IF(T359&lt;&gt;"", IFERROR((T359 - MAX(_xlfn._xlws.FILTER(T$2:T358, N$2:N358 = "yes"))) * 24 * 60, ""), "")</f>
        <v/>
      </c>
      <c r="T359" s="2" t="str">
        <f t="shared" ca="1" si="10"/>
        <v/>
      </c>
      <c r="U359" s="2" t="str" cm="1">
        <f t="array" ref="U359">IF(N359&lt;&gt;"yes", "", IFERROR((T359 - INDEX(T$2:T359, MATCH(TRUE, INDEX((T$2:T359&lt;&gt;"")*(N$2:N359="yes"), 0), 0))) * 1440 / COUNTIF(N$2:N359, "yes"), ""))</f>
        <v/>
      </c>
    </row>
    <row r="360" spans="18:21" x14ac:dyDescent="0.25">
      <c r="R360" s="2" t="str">
        <f t="shared" si="11"/>
        <v/>
      </c>
      <c r="S360" s="2" t="str" cm="1">
        <f t="array" aca="1" ref="S360" ca="1">IF(T360&lt;&gt;"", IFERROR((T360 - MAX(_xlfn._xlws.FILTER(T$2:T359, N$2:N359 = "yes"))) * 24 * 60, ""), "")</f>
        <v/>
      </c>
      <c r="T360" s="2" t="str">
        <f t="shared" ca="1" si="10"/>
        <v/>
      </c>
      <c r="U360" s="2" t="str" cm="1">
        <f t="array" ref="U360">IF(N360&lt;&gt;"yes", "", IFERROR((T360 - INDEX(T$2:T360, MATCH(TRUE, INDEX((T$2:T360&lt;&gt;"")*(N$2:N360="yes"), 0), 0))) * 1440 / COUNTIF(N$2:N360, "yes"), ""))</f>
        <v/>
      </c>
    </row>
    <row r="361" spans="18:21" x14ac:dyDescent="0.25">
      <c r="R361" s="2" t="str">
        <f t="shared" si="11"/>
        <v/>
      </c>
      <c r="S361" s="2" t="str" cm="1">
        <f t="array" aca="1" ref="S361" ca="1">IF(T361&lt;&gt;"", IFERROR((T361 - MAX(_xlfn._xlws.FILTER(T$2:T360, N$2:N360 = "yes"))) * 24 * 60, ""), "")</f>
        <v/>
      </c>
      <c r="T361" s="2" t="str">
        <f t="shared" ca="1" si="10"/>
        <v/>
      </c>
      <c r="U361" s="2" t="str" cm="1">
        <f t="array" ref="U361">IF(N361&lt;&gt;"yes", "", IFERROR((T361 - INDEX(T$2:T361, MATCH(TRUE, INDEX((T$2:T361&lt;&gt;"")*(N$2:N361="yes"), 0), 0))) * 1440 / COUNTIF(N$2:N361, "yes"), ""))</f>
        <v/>
      </c>
    </row>
    <row r="362" spans="18:21" x14ac:dyDescent="0.25">
      <c r="R362" s="2" t="str">
        <f t="shared" si="11"/>
        <v/>
      </c>
      <c r="S362" s="2" t="str" cm="1">
        <f t="array" aca="1" ref="S362" ca="1">IF(T362&lt;&gt;"", IFERROR((T362 - MAX(_xlfn._xlws.FILTER(T$2:T361, N$2:N361 = "yes"))) * 24 * 60, ""), "")</f>
        <v/>
      </c>
      <c r="T362" s="2" t="str">
        <f t="shared" ca="1" si="10"/>
        <v/>
      </c>
      <c r="U362" s="2" t="str" cm="1">
        <f t="array" ref="U362">IF(N362&lt;&gt;"yes", "", IFERROR((T362 - INDEX(T$2:T362, MATCH(TRUE, INDEX((T$2:T362&lt;&gt;"")*(N$2:N362="yes"), 0), 0))) * 1440 / COUNTIF(N$2:N362, "yes"), ""))</f>
        <v/>
      </c>
    </row>
    <row r="363" spans="18:21" x14ac:dyDescent="0.25">
      <c r="R363" s="2" t="str">
        <f t="shared" si="11"/>
        <v/>
      </c>
      <c r="S363" s="2" t="str" cm="1">
        <f t="array" aca="1" ref="S363" ca="1">IF(T363&lt;&gt;"", IFERROR((T363 - MAX(_xlfn._xlws.FILTER(T$2:T362, N$2:N362 = "yes"))) * 24 * 60, ""), "")</f>
        <v/>
      </c>
      <c r="T363" s="2" t="str">
        <f t="shared" ca="1" si="10"/>
        <v/>
      </c>
      <c r="U363" s="2" t="str" cm="1">
        <f t="array" ref="U363">IF(N363&lt;&gt;"yes", "", IFERROR((T363 - INDEX(T$2:T363, MATCH(TRUE, INDEX((T$2:T363&lt;&gt;"")*(N$2:N363="yes"), 0), 0))) * 1440 / COUNTIF(N$2:N363, "yes"), ""))</f>
        <v/>
      </c>
    </row>
    <row r="364" spans="18:21" x14ac:dyDescent="0.25">
      <c r="R364" s="2" t="str">
        <f t="shared" si="11"/>
        <v/>
      </c>
      <c r="S364" s="2" t="str" cm="1">
        <f t="array" aca="1" ref="S364" ca="1">IF(T364&lt;&gt;"", IFERROR((T364 - MAX(_xlfn._xlws.FILTER(T$2:T363, N$2:N363 = "yes"))) * 24 * 60, ""), "")</f>
        <v/>
      </c>
      <c r="T364" s="2" t="str">
        <f t="shared" ca="1" si="10"/>
        <v/>
      </c>
      <c r="U364" s="2" t="str" cm="1">
        <f t="array" ref="U364">IF(N364&lt;&gt;"yes", "", IFERROR((T364 - INDEX(T$2:T364, MATCH(TRUE, INDEX((T$2:T364&lt;&gt;"")*(N$2:N364="yes"), 0), 0))) * 1440 / COUNTIF(N$2:N364, "yes"), ""))</f>
        <v/>
      </c>
    </row>
    <row r="365" spans="18:21" x14ac:dyDescent="0.25">
      <c r="R365" s="2" t="str">
        <f t="shared" si="11"/>
        <v/>
      </c>
      <c r="S365" s="2" t="str" cm="1">
        <f t="array" aca="1" ref="S365" ca="1">IF(T365&lt;&gt;"", IFERROR((T365 - MAX(_xlfn._xlws.FILTER(T$2:T364, N$2:N364 = "yes"))) * 24 * 60, ""), "")</f>
        <v/>
      </c>
      <c r="T365" s="2" t="str">
        <f t="shared" ca="1" si="10"/>
        <v/>
      </c>
      <c r="U365" s="2" t="str" cm="1">
        <f t="array" ref="U365">IF(N365&lt;&gt;"yes", "", IFERROR((T365 - INDEX(T$2:T365, MATCH(TRUE, INDEX((T$2:T365&lt;&gt;"")*(N$2:N365="yes"), 0), 0))) * 1440 / COUNTIF(N$2:N365, "yes"), ""))</f>
        <v/>
      </c>
    </row>
    <row r="366" spans="18:21" x14ac:dyDescent="0.25">
      <c r="R366" s="2" t="str">
        <f t="shared" si="11"/>
        <v/>
      </c>
      <c r="S366" s="2" t="str" cm="1">
        <f t="array" aca="1" ref="S366" ca="1">IF(T366&lt;&gt;"", IFERROR((T366 - MAX(_xlfn._xlws.FILTER(T$2:T365, N$2:N365 = "yes"))) * 24 * 60, ""), "")</f>
        <v/>
      </c>
      <c r="T366" s="2" t="str">
        <f t="shared" ca="1" si="10"/>
        <v/>
      </c>
      <c r="U366" s="2" t="str" cm="1">
        <f t="array" ref="U366">IF(N366&lt;&gt;"yes", "", IFERROR((T366 - INDEX(T$2:T366, MATCH(TRUE, INDEX((T$2:T366&lt;&gt;"")*(N$2:N366="yes"), 0), 0))) * 1440 / COUNTIF(N$2:N366, "yes"), ""))</f>
        <v/>
      </c>
    </row>
    <row r="367" spans="18:21" x14ac:dyDescent="0.25">
      <c r="R367" s="2" t="str">
        <f t="shared" si="11"/>
        <v/>
      </c>
      <c r="S367" s="2" t="str" cm="1">
        <f t="array" aca="1" ref="S367" ca="1">IF(T367&lt;&gt;"", IFERROR((T367 - MAX(_xlfn._xlws.FILTER(T$2:T366, N$2:N366 = "yes"))) * 24 * 60, ""), "")</f>
        <v/>
      </c>
      <c r="T367" s="2" t="str">
        <f t="shared" ca="1" si="10"/>
        <v/>
      </c>
      <c r="U367" s="2" t="str" cm="1">
        <f t="array" ref="U367">IF(N367&lt;&gt;"yes", "", IFERROR((T367 - INDEX(T$2:T367, MATCH(TRUE, INDEX((T$2:T367&lt;&gt;"")*(N$2:N367="yes"), 0), 0))) * 1440 / COUNTIF(N$2:N367, "yes"), ""))</f>
        <v/>
      </c>
    </row>
    <row r="368" spans="18:21" x14ac:dyDescent="0.25">
      <c r="R368" s="2" t="str">
        <f t="shared" si="11"/>
        <v/>
      </c>
      <c r="S368" s="2" t="str" cm="1">
        <f t="array" aca="1" ref="S368" ca="1">IF(T368&lt;&gt;"", IFERROR((T368 - MAX(_xlfn._xlws.FILTER(T$2:T367, N$2:N367 = "yes"))) * 24 * 60, ""), "")</f>
        <v/>
      </c>
      <c r="T368" s="2" t="str">
        <f t="shared" ca="1" si="10"/>
        <v/>
      </c>
      <c r="U368" s="2" t="str" cm="1">
        <f t="array" ref="U368">IF(N368&lt;&gt;"yes", "", IFERROR((T368 - INDEX(T$2:T368, MATCH(TRUE, INDEX((T$2:T368&lt;&gt;"")*(N$2:N368="yes"), 0), 0))) * 1440 / COUNTIF(N$2:N368, "yes"), ""))</f>
        <v/>
      </c>
    </row>
    <row r="369" spans="18:21" x14ac:dyDescent="0.25">
      <c r="R369" s="2" t="str">
        <f t="shared" si="11"/>
        <v/>
      </c>
      <c r="S369" s="2" t="str" cm="1">
        <f t="array" aca="1" ref="S369" ca="1">IF(T369&lt;&gt;"", IFERROR((T369 - MAX(_xlfn._xlws.FILTER(T$2:T368, N$2:N368 = "yes"))) * 24 * 60, ""), "")</f>
        <v/>
      </c>
      <c r="T369" s="2" t="str">
        <f t="shared" ca="1" si="10"/>
        <v/>
      </c>
      <c r="U369" s="2" t="str" cm="1">
        <f t="array" ref="U369">IF(N369&lt;&gt;"yes", "", IFERROR((T369 - INDEX(T$2:T369, MATCH(TRUE, INDEX((T$2:T369&lt;&gt;"")*(N$2:N369="yes"), 0), 0))) * 1440 / COUNTIF(N$2:N369, "yes"), ""))</f>
        <v/>
      </c>
    </row>
    <row r="370" spans="18:21" x14ac:dyDescent="0.25">
      <c r="R370" s="2" t="str">
        <f t="shared" si="11"/>
        <v/>
      </c>
      <c r="S370" s="2" t="str" cm="1">
        <f t="array" aca="1" ref="S370" ca="1">IF(T370&lt;&gt;"", IFERROR((T370 - MAX(_xlfn._xlws.FILTER(T$2:T369, N$2:N369 = "yes"))) * 24 * 60, ""), "")</f>
        <v/>
      </c>
      <c r="T370" s="2" t="str">
        <f t="shared" ca="1" si="10"/>
        <v/>
      </c>
      <c r="U370" s="2" t="str" cm="1">
        <f t="array" ref="U370">IF(N370&lt;&gt;"yes", "", IFERROR((T370 - INDEX(T$2:T370, MATCH(TRUE, INDEX((T$2:T370&lt;&gt;"")*(N$2:N370="yes"), 0), 0))) * 1440 / COUNTIF(N$2:N370, "yes"), ""))</f>
        <v/>
      </c>
    </row>
    <row r="371" spans="18:21" x14ac:dyDescent="0.25">
      <c r="R371" s="2" t="str">
        <f t="shared" si="11"/>
        <v/>
      </c>
      <c r="S371" s="2" t="str" cm="1">
        <f t="array" aca="1" ref="S371" ca="1">IF(T371&lt;&gt;"", IFERROR((T371 - MAX(_xlfn._xlws.FILTER(T$2:T370, N$2:N370 = "yes"))) * 24 * 60, ""), "")</f>
        <v/>
      </c>
      <c r="T371" s="2" t="str">
        <f t="shared" ca="1" si="10"/>
        <v/>
      </c>
      <c r="U371" s="2" t="str" cm="1">
        <f t="array" ref="U371">IF(N371&lt;&gt;"yes", "", IFERROR((T371 - INDEX(T$2:T371, MATCH(TRUE, INDEX((T$2:T371&lt;&gt;"")*(N$2:N371="yes"), 0), 0))) * 1440 / COUNTIF(N$2:N371, "yes"), ""))</f>
        <v/>
      </c>
    </row>
    <row r="372" spans="18:21" x14ac:dyDescent="0.25">
      <c r="R372" s="2" t="str">
        <f t="shared" si="11"/>
        <v/>
      </c>
      <c r="S372" s="2" t="str" cm="1">
        <f t="array" aca="1" ref="S372" ca="1">IF(T372&lt;&gt;"", IFERROR((T372 - MAX(_xlfn._xlws.FILTER(T$2:T371, N$2:N371 = "yes"))) * 24 * 60, ""), "")</f>
        <v/>
      </c>
      <c r="T372" s="2" t="str">
        <f t="shared" ca="1" si="10"/>
        <v/>
      </c>
      <c r="U372" s="2" t="str" cm="1">
        <f t="array" ref="U372">IF(N372&lt;&gt;"yes", "", IFERROR((T372 - INDEX(T$2:T372, MATCH(TRUE, INDEX((T$2:T372&lt;&gt;"")*(N$2:N372="yes"), 0), 0))) * 1440 / COUNTIF(N$2:N372, "yes"), ""))</f>
        <v/>
      </c>
    </row>
    <row r="373" spans="18:21" x14ac:dyDescent="0.25">
      <c r="R373" s="2" t="str">
        <f t="shared" ref="R323:R386" si="12">IF(AND(ISNUMBER(P373), ISNUMBER(Q373)), (Q373 - P373) * 1440, "")</f>
        <v/>
      </c>
      <c r="S373" s="2" t="str" cm="1">
        <f t="array" aca="1" ref="S373" ca="1">IF(T373&lt;&gt;"", IFERROR((T373 - MAX(_xlfn._xlws.FILTER(T$2:T372, N$2:N372 = "yes"))) * 24 * 60, ""), "")</f>
        <v/>
      </c>
      <c r="T373" s="2" t="str">
        <f t="shared" ca="1" si="10"/>
        <v/>
      </c>
      <c r="U373" s="2" t="str" cm="1">
        <f t="array" ref="U373">IF(N373&lt;&gt;"yes", "", IFERROR((T373 - INDEX(T$2:T373, MATCH(TRUE, INDEX((T$2:T373&lt;&gt;"")*(N$2:N373="yes"), 0), 0))) * 1440 / COUNTIF(N$2:N373, "yes"), ""))</f>
        <v/>
      </c>
    </row>
    <row r="374" spans="18:21" x14ac:dyDescent="0.25">
      <c r="R374" s="2" t="str">
        <f t="shared" si="12"/>
        <v/>
      </c>
      <c r="S374" s="2" t="str" cm="1">
        <f t="array" aca="1" ref="S374" ca="1">IF(T374&lt;&gt;"", IFERROR((T374 - MAX(_xlfn._xlws.FILTER(T$2:T373, N$2:N373 = "yes"))) * 24 * 60, ""), "")</f>
        <v/>
      </c>
      <c r="T374" s="2" t="str">
        <f t="shared" ca="1" si="10"/>
        <v/>
      </c>
      <c r="U374" s="2" t="str" cm="1">
        <f t="array" ref="U374">IF(N374&lt;&gt;"yes", "", IFERROR((T374 - INDEX(T$2:T374, MATCH(TRUE, INDEX((T$2:T374&lt;&gt;"")*(N$2:N374="yes"), 0), 0))) * 1440 / COUNTIF(N$2:N374, "yes"), ""))</f>
        <v/>
      </c>
    </row>
    <row r="375" spans="18:21" x14ac:dyDescent="0.25">
      <c r="R375" s="2" t="str">
        <f t="shared" si="12"/>
        <v/>
      </c>
      <c r="S375" s="2" t="str" cm="1">
        <f t="array" aca="1" ref="S375" ca="1">IF(T375&lt;&gt;"", IFERROR((T375 - MAX(_xlfn._xlws.FILTER(T$2:T374, N$2:N374 = "yes"))) * 24 * 60, ""), "")</f>
        <v/>
      </c>
      <c r="T375" s="2" t="str">
        <f t="shared" ca="1" si="10"/>
        <v/>
      </c>
      <c r="U375" s="2" t="str" cm="1">
        <f t="array" ref="U375">IF(N375&lt;&gt;"yes", "", IFERROR((T375 - INDEX(T$2:T375, MATCH(TRUE, INDEX((T$2:T375&lt;&gt;"")*(N$2:N375="yes"), 0), 0))) * 1440 / COUNTIF(N$2:N375, "yes"), ""))</f>
        <v/>
      </c>
    </row>
    <row r="376" spans="18:21" x14ac:dyDescent="0.25">
      <c r="R376" s="2" t="str">
        <f t="shared" si="12"/>
        <v/>
      </c>
      <c r="S376" s="2" t="str" cm="1">
        <f t="array" aca="1" ref="S376" ca="1">IF(T376&lt;&gt;"", IFERROR((T376 - MAX(_xlfn._xlws.FILTER(T$2:T375, N$2:N375 = "yes"))) * 24 * 60, ""), "")</f>
        <v/>
      </c>
      <c r="T376" s="2" t="str">
        <f t="shared" ca="1" si="10"/>
        <v/>
      </c>
      <c r="U376" s="2" t="str" cm="1">
        <f t="array" ref="U376">IF(N376&lt;&gt;"yes", "", IFERROR((T376 - INDEX(T$2:T376, MATCH(TRUE, INDEX((T$2:T376&lt;&gt;"")*(N$2:N376="yes"), 0), 0))) * 1440 / COUNTIF(N$2:N376, "yes"), ""))</f>
        <v/>
      </c>
    </row>
    <row r="377" spans="18:21" x14ac:dyDescent="0.25">
      <c r="R377" s="2" t="str">
        <f t="shared" si="12"/>
        <v/>
      </c>
      <c r="S377" s="2" t="str" cm="1">
        <f t="array" aca="1" ref="S377" ca="1">IF(T377&lt;&gt;"", IFERROR((T377 - MAX(_xlfn._xlws.FILTER(T$2:T376, N$2:N376 = "yes"))) * 24 * 60, ""), "")</f>
        <v/>
      </c>
      <c r="T377" s="2" t="str">
        <f t="shared" ca="1" si="10"/>
        <v/>
      </c>
      <c r="U377" s="2" t="str" cm="1">
        <f t="array" ref="U377">IF(N377&lt;&gt;"yes", "", IFERROR((T377 - INDEX(T$2:T377, MATCH(TRUE, INDEX((T$2:T377&lt;&gt;"")*(N$2:N377="yes"), 0), 0))) * 1440 / COUNTIF(N$2:N377, "yes"), ""))</f>
        <v/>
      </c>
    </row>
    <row r="378" spans="18:21" x14ac:dyDescent="0.25">
      <c r="R378" s="2" t="str">
        <f t="shared" si="12"/>
        <v/>
      </c>
      <c r="S378" s="2" t="str" cm="1">
        <f t="array" aca="1" ref="S378" ca="1">IF(T378&lt;&gt;"", IFERROR((T378 - MAX(_xlfn._xlws.FILTER(T$2:T377, N$2:N377 = "yes"))) * 24 * 60, ""), "")</f>
        <v/>
      </c>
      <c r="T378" s="2" t="str">
        <f t="shared" ca="1" si="10"/>
        <v/>
      </c>
      <c r="U378" s="2" t="str" cm="1">
        <f t="array" ref="U378">IF(N378&lt;&gt;"yes", "", IFERROR((T378 - INDEX(T$2:T378, MATCH(TRUE, INDEX((T$2:T378&lt;&gt;"")*(N$2:N378="yes"), 0), 0))) * 1440 / COUNTIF(N$2:N378, "yes"), ""))</f>
        <v/>
      </c>
    </row>
    <row r="379" spans="18:21" x14ac:dyDescent="0.25">
      <c r="R379" s="2" t="str">
        <f t="shared" si="12"/>
        <v/>
      </c>
      <c r="S379" s="2" t="str" cm="1">
        <f t="array" aca="1" ref="S379" ca="1">IF(T379&lt;&gt;"", IFERROR((T379 - MAX(_xlfn._xlws.FILTER(T$2:T378, N$2:N378 = "yes"))) * 24 * 60, ""), "")</f>
        <v/>
      </c>
      <c r="T379" s="2" t="str">
        <f t="shared" ca="1" si="10"/>
        <v/>
      </c>
      <c r="U379" s="2" t="str" cm="1">
        <f t="array" ref="U379">IF(N379&lt;&gt;"yes", "", IFERROR((T379 - INDEX(T$2:T379, MATCH(TRUE, INDEX((T$2:T379&lt;&gt;"")*(N$2:N379="yes"), 0), 0))) * 1440 / COUNTIF(N$2:N379, "yes"), ""))</f>
        <v/>
      </c>
    </row>
    <row r="380" spans="18:21" x14ac:dyDescent="0.25">
      <c r="R380" s="2" t="str">
        <f t="shared" si="12"/>
        <v/>
      </c>
      <c r="S380" s="2" t="str" cm="1">
        <f t="array" aca="1" ref="S380" ca="1">IF(T380&lt;&gt;"", IFERROR((T380 - MAX(_xlfn._xlws.FILTER(T$2:T379, N$2:N379 = "yes"))) * 24 * 60, ""), "")</f>
        <v/>
      </c>
      <c r="T380" s="2" t="str">
        <f t="shared" ca="1" si="10"/>
        <v/>
      </c>
      <c r="U380" s="2" t="str" cm="1">
        <f t="array" ref="U380">IF(N380&lt;&gt;"yes", "", IFERROR((T380 - INDEX(T$2:T380, MATCH(TRUE, INDEX((T$2:T380&lt;&gt;"")*(N$2:N380="yes"), 0), 0))) * 1440 / COUNTIF(N$2:N380, "yes"), ""))</f>
        <v/>
      </c>
    </row>
    <row r="381" spans="18:21" x14ac:dyDescent="0.25">
      <c r="R381" s="2" t="str">
        <f t="shared" si="12"/>
        <v/>
      </c>
      <c r="S381" s="2" t="str" cm="1">
        <f t="array" aca="1" ref="S381" ca="1">IF(T381&lt;&gt;"", IFERROR((T381 - MAX(_xlfn._xlws.FILTER(T$2:T380, N$2:N380 = "yes"))) * 24 * 60, ""), "")</f>
        <v/>
      </c>
      <c r="T381" s="2" t="str">
        <f t="shared" ca="1" si="10"/>
        <v/>
      </c>
      <c r="U381" s="2" t="str" cm="1">
        <f t="array" ref="U381">IF(N381&lt;&gt;"yes", "", IFERROR((T381 - INDEX(T$2:T381, MATCH(TRUE, INDEX((T$2:T381&lt;&gt;"")*(N$2:N381="yes"), 0), 0))) * 1440 / COUNTIF(N$2:N381, "yes"), ""))</f>
        <v/>
      </c>
    </row>
    <row r="382" spans="18:21" x14ac:dyDescent="0.25">
      <c r="R382" s="2" t="str">
        <f t="shared" si="12"/>
        <v/>
      </c>
      <c r="S382" s="2" t="str" cm="1">
        <f t="array" aca="1" ref="S382" ca="1">IF(T382&lt;&gt;"", IFERROR((T382 - MAX(_xlfn._xlws.FILTER(T$2:T381, N$2:N381 = "yes"))) * 24 * 60, ""), "")</f>
        <v/>
      </c>
      <c r="T382" s="2" t="str">
        <f t="shared" ca="1" si="10"/>
        <v/>
      </c>
      <c r="U382" s="2" t="str" cm="1">
        <f t="array" ref="U382">IF(N382&lt;&gt;"yes", "", IFERROR((T382 - INDEX(T$2:T382, MATCH(TRUE, INDEX((T$2:T382&lt;&gt;"")*(N$2:N382="yes"), 0), 0))) * 1440 / COUNTIF(N$2:N382, "yes"), ""))</f>
        <v/>
      </c>
    </row>
    <row r="383" spans="18:21" x14ac:dyDescent="0.25">
      <c r="R383" s="2" t="str">
        <f t="shared" si="12"/>
        <v/>
      </c>
      <c r="S383" s="2" t="str" cm="1">
        <f t="array" aca="1" ref="S383" ca="1">IF(T383&lt;&gt;"", IFERROR((T383 - MAX(_xlfn._xlws.FILTER(T$2:T382, N$2:N382 = "yes"))) * 24 * 60, ""), "")</f>
        <v/>
      </c>
      <c r="T383" s="2" t="str">
        <f t="shared" ca="1" si="10"/>
        <v/>
      </c>
      <c r="U383" s="2" t="str" cm="1">
        <f t="array" ref="U383">IF(N383&lt;&gt;"yes", "", IFERROR((T383 - INDEX(T$2:T383, MATCH(TRUE, INDEX((T$2:T383&lt;&gt;"")*(N$2:N383="yes"), 0), 0))) * 1440 / COUNTIF(N$2:N383, "yes"), ""))</f>
        <v/>
      </c>
    </row>
    <row r="384" spans="18:21" x14ac:dyDescent="0.25">
      <c r="R384" s="2" t="str">
        <f t="shared" si="12"/>
        <v/>
      </c>
      <c r="S384" s="2" t="str" cm="1">
        <f t="array" aca="1" ref="S384" ca="1">IF(T384&lt;&gt;"", IFERROR((T384 - MAX(_xlfn._xlws.FILTER(T$2:T383, N$2:N383 = "yes"))) * 24 * 60, ""), "")</f>
        <v/>
      </c>
      <c r="T384" s="2" t="str">
        <f t="shared" ca="1" si="10"/>
        <v/>
      </c>
      <c r="U384" s="2" t="str" cm="1">
        <f t="array" ref="U384">IF(N384&lt;&gt;"yes", "", IFERROR((T384 - INDEX(T$2:T384, MATCH(TRUE, INDEX((T$2:T384&lt;&gt;"")*(N$2:N384="yes"), 0), 0))) * 1440 / COUNTIF(N$2:N384, "yes"), ""))</f>
        <v/>
      </c>
    </row>
    <row r="385" spans="18:21" x14ac:dyDescent="0.25">
      <c r="R385" s="2" t="str">
        <f t="shared" si="12"/>
        <v/>
      </c>
      <c r="S385" s="2" t="str" cm="1">
        <f t="array" aca="1" ref="S385" ca="1">IF(T385&lt;&gt;"", IFERROR((T385 - MAX(_xlfn._xlws.FILTER(T$2:T384, N$2:N384 = "yes"))) * 24 * 60, ""), "")</f>
        <v/>
      </c>
      <c r="T385" s="2" t="str">
        <f t="shared" ca="1" si="10"/>
        <v/>
      </c>
      <c r="U385" s="2" t="str" cm="1">
        <f t="array" ref="U385">IF(N385&lt;&gt;"yes", "", IFERROR((T385 - INDEX(T$2:T385, MATCH(TRUE, INDEX((T$2:T385&lt;&gt;"")*(N$2:N385="yes"), 0), 0))) * 1440 / COUNTIF(N$2:N385, "yes"), ""))</f>
        <v/>
      </c>
    </row>
    <row r="386" spans="18:21" x14ac:dyDescent="0.25">
      <c r="R386" s="2" t="str">
        <f t="shared" si="12"/>
        <v/>
      </c>
      <c r="S386" s="2" t="str" cm="1">
        <f t="array" aca="1" ref="S386" ca="1">IF(T386&lt;&gt;"", IFERROR((T386 - MAX(_xlfn._xlws.FILTER(T$2:T385, N$2:N385 = "yes"))) * 24 * 60, ""), "")</f>
        <v/>
      </c>
      <c r="T386" s="2" t="str">
        <f t="shared" ref="T386:T449" ca="1" si="13">IF(N386="yes", NOW(), "")</f>
        <v/>
      </c>
      <c r="U386" s="2" t="str" cm="1">
        <f t="array" ref="U386">IF(N386&lt;&gt;"yes", "", IFERROR((T386 - INDEX(T$2:T386, MATCH(TRUE, INDEX((T$2:T386&lt;&gt;"")*(N$2:N386="yes"), 0), 0))) * 1440 / COUNTIF(N$2:N386, "yes"), ""))</f>
        <v/>
      </c>
    </row>
    <row r="387" spans="18:21" x14ac:dyDescent="0.25">
      <c r="R387" s="2" t="str">
        <f t="shared" ref="R387:R450" si="14">IF(AND(ISNUMBER(P387), ISNUMBER(Q387)), (Q387 - P387) * 1440, "")</f>
        <v/>
      </c>
      <c r="S387" s="2" t="str" cm="1">
        <f t="array" aca="1" ref="S387" ca="1">IF(T387&lt;&gt;"", IFERROR((T387 - MAX(_xlfn._xlws.FILTER(T$2:T386, N$2:N386 = "yes"))) * 24 * 60, ""), "")</f>
        <v/>
      </c>
      <c r="T387" s="2" t="str">
        <f t="shared" ca="1" si="13"/>
        <v/>
      </c>
      <c r="U387" s="2" t="str" cm="1">
        <f t="array" ref="U387">IF(N387&lt;&gt;"yes", "", IFERROR((T387 - INDEX(T$2:T387, MATCH(TRUE, INDEX((T$2:T387&lt;&gt;"")*(N$2:N387="yes"), 0), 0))) * 1440 / COUNTIF(N$2:N387, "yes"), ""))</f>
        <v/>
      </c>
    </row>
    <row r="388" spans="18:21" x14ac:dyDescent="0.25">
      <c r="R388" s="2" t="str">
        <f t="shared" si="14"/>
        <v/>
      </c>
      <c r="S388" s="2" t="str" cm="1">
        <f t="array" aca="1" ref="S388" ca="1">IF(T388&lt;&gt;"", IFERROR((T388 - MAX(_xlfn._xlws.FILTER(T$2:T387, N$2:N387 = "yes"))) * 24 * 60, ""), "")</f>
        <v/>
      </c>
      <c r="T388" s="2" t="str">
        <f t="shared" ca="1" si="13"/>
        <v/>
      </c>
      <c r="U388" s="2" t="str" cm="1">
        <f t="array" ref="U388">IF(N388&lt;&gt;"yes", "", IFERROR((T388 - INDEX(T$2:T388, MATCH(TRUE, INDEX((T$2:T388&lt;&gt;"")*(N$2:N388="yes"), 0), 0))) * 1440 / COUNTIF(N$2:N388, "yes"), ""))</f>
        <v/>
      </c>
    </row>
    <row r="389" spans="18:21" x14ac:dyDescent="0.25">
      <c r="R389" s="2" t="str">
        <f t="shared" si="14"/>
        <v/>
      </c>
      <c r="S389" s="2" t="str" cm="1">
        <f t="array" aca="1" ref="S389" ca="1">IF(T389&lt;&gt;"", IFERROR((T389 - MAX(_xlfn._xlws.FILTER(T$2:T388, N$2:N388 = "yes"))) * 24 * 60, ""), "")</f>
        <v/>
      </c>
      <c r="T389" s="2" t="str">
        <f t="shared" ca="1" si="13"/>
        <v/>
      </c>
      <c r="U389" s="2" t="str" cm="1">
        <f t="array" ref="U389">IF(N389&lt;&gt;"yes", "", IFERROR((T389 - INDEX(T$2:T389, MATCH(TRUE, INDEX((T$2:T389&lt;&gt;"")*(N$2:N389="yes"), 0), 0))) * 1440 / COUNTIF(N$2:N389, "yes"), ""))</f>
        <v/>
      </c>
    </row>
    <row r="390" spans="18:21" x14ac:dyDescent="0.25">
      <c r="R390" s="2" t="str">
        <f t="shared" si="14"/>
        <v/>
      </c>
      <c r="S390" s="2" t="str" cm="1">
        <f t="array" aca="1" ref="S390" ca="1">IF(T390&lt;&gt;"", IFERROR((T390 - MAX(_xlfn._xlws.FILTER(T$2:T389, N$2:N389 = "yes"))) * 24 * 60, ""), "")</f>
        <v/>
      </c>
      <c r="T390" s="2" t="str">
        <f t="shared" ca="1" si="13"/>
        <v/>
      </c>
      <c r="U390" s="2" t="str" cm="1">
        <f t="array" ref="U390">IF(N390&lt;&gt;"yes", "", IFERROR((T390 - INDEX(T$2:T390, MATCH(TRUE, INDEX((T$2:T390&lt;&gt;"")*(N$2:N390="yes"), 0), 0))) * 1440 / COUNTIF(N$2:N390, "yes"), ""))</f>
        <v/>
      </c>
    </row>
    <row r="391" spans="18:21" x14ac:dyDescent="0.25">
      <c r="R391" s="2" t="str">
        <f t="shared" si="14"/>
        <v/>
      </c>
      <c r="S391" s="2" t="str" cm="1">
        <f t="array" aca="1" ref="S391" ca="1">IF(T391&lt;&gt;"", IFERROR((T391 - MAX(_xlfn._xlws.FILTER(T$2:T390, N$2:N390 = "yes"))) * 24 * 60, ""), "")</f>
        <v/>
      </c>
      <c r="T391" s="2" t="str">
        <f t="shared" ca="1" si="13"/>
        <v/>
      </c>
      <c r="U391" s="2" t="str" cm="1">
        <f t="array" ref="U391">IF(N391&lt;&gt;"yes", "", IFERROR((T391 - INDEX(T$2:T391, MATCH(TRUE, INDEX((T$2:T391&lt;&gt;"")*(N$2:N391="yes"), 0), 0))) * 1440 / COUNTIF(N$2:N391, "yes"), ""))</f>
        <v/>
      </c>
    </row>
    <row r="392" spans="18:21" x14ac:dyDescent="0.25">
      <c r="R392" s="2" t="str">
        <f t="shared" si="14"/>
        <v/>
      </c>
      <c r="S392" s="2" t="str" cm="1">
        <f t="array" aca="1" ref="S392" ca="1">IF(T392&lt;&gt;"", IFERROR((T392 - MAX(_xlfn._xlws.FILTER(T$2:T391, N$2:N391 = "yes"))) * 24 * 60, ""), "")</f>
        <v/>
      </c>
      <c r="T392" s="2" t="str">
        <f t="shared" ca="1" si="13"/>
        <v/>
      </c>
      <c r="U392" s="2" t="str" cm="1">
        <f t="array" ref="U392">IF(N392&lt;&gt;"yes", "", IFERROR((T392 - INDEX(T$2:T392, MATCH(TRUE, INDEX((T$2:T392&lt;&gt;"")*(N$2:N392="yes"), 0), 0))) * 1440 / COUNTIF(N$2:N392, "yes"), ""))</f>
        <v/>
      </c>
    </row>
    <row r="393" spans="18:21" x14ac:dyDescent="0.25">
      <c r="R393" s="2" t="str">
        <f t="shared" si="14"/>
        <v/>
      </c>
      <c r="S393" s="2" t="str" cm="1">
        <f t="array" aca="1" ref="S393" ca="1">IF(T393&lt;&gt;"", IFERROR((T393 - MAX(_xlfn._xlws.FILTER(T$2:T392, N$2:N392 = "yes"))) * 24 * 60, ""), "")</f>
        <v/>
      </c>
      <c r="T393" s="2" t="str">
        <f t="shared" ca="1" si="13"/>
        <v/>
      </c>
      <c r="U393" s="2" t="str" cm="1">
        <f t="array" ref="U393">IF(N393&lt;&gt;"yes", "", IFERROR((T393 - INDEX(T$2:T393, MATCH(TRUE, INDEX((T$2:T393&lt;&gt;"")*(N$2:N393="yes"), 0), 0))) * 1440 / COUNTIF(N$2:N393, "yes"), ""))</f>
        <v/>
      </c>
    </row>
    <row r="394" spans="18:21" x14ac:dyDescent="0.25">
      <c r="R394" s="2" t="str">
        <f t="shared" si="14"/>
        <v/>
      </c>
      <c r="S394" s="2" t="str" cm="1">
        <f t="array" aca="1" ref="S394" ca="1">IF(T394&lt;&gt;"", IFERROR((T394 - MAX(_xlfn._xlws.FILTER(T$2:T393, N$2:N393 = "yes"))) * 24 * 60, ""), "")</f>
        <v/>
      </c>
      <c r="T394" s="2" t="str">
        <f t="shared" ca="1" si="13"/>
        <v/>
      </c>
      <c r="U394" s="2" t="str" cm="1">
        <f t="array" ref="U394">IF(N394&lt;&gt;"yes", "", IFERROR((T394 - INDEX(T$2:T394, MATCH(TRUE, INDEX((T$2:T394&lt;&gt;"")*(N$2:N394="yes"), 0), 0))) * 1440 / COUNTIF(N$2:N394, "yes"), ""))</f>
        <v/>
      </c>
    </row>
    <row r="395" spans="18:21" x14ac:dyDescent="0.25">
      <c r="R395" s="2" t="str">
        <f t="shared" si="14"/>
        <v/>
      </c>
      <c r="S395" s="2" t="str" cm="1">
        <f t="array" aca="1" ref="S395" ca="1">IF(T395&lt;&gt;"", IFERROR((T395 - MAX(_xlfn._xlws.FILTER(T$2:T394, N$2:N394 = "yes"))) * 24 * 60, ""), "")</f>
        <v/>
      </c>
      <c r="T395" s="2" t="str">
        <f t="shared" ca="1" si="13"/>
        <v/>
      </c>
      <c r="U395" s="2" t="str" cm="1">
        <f t="array" ref="U395">IF(N395&lt;&gt;"yes", "", IFERROR((T395 - INDEX(T$2:T395, MATCH(TRUE, INDEX((T$2:T395&lt;&gt;"")*(N$2:N395="yes"), 0), 0))) * 1440 / COUNTIF(N$2:N395, "yes"), ""))</f>
        <v/>
      </c>
    </row>
    <row r="396" spans="18:21" x14ac:dyDescent="0.25">
      <c r="R396" s="2" t="str">
        <f t="shared" si="14"/>
        <v/>
      </c>
      <c r="S396" s="2" t="str" cm="1">
        <f t="array" aca="1" ref="S396" ca="1">IF(T396&lt;&gt;"", IFERROR((T396 - MAX(_xlfn._xlws.FILTER(T$2:T395, N$2:N395 = "yes"))) * 24 * 60, ""), "")</f>
        <v/>
      </c>
      <c r="T396" s="2" t="str">
        <f t="shared" ca="1" si="13"/>
        <v/>
      </c>
      <c r="U396" s="2" t="str" cm="1">
        <f t="array" ref="U396">IF(N396&lt;&gt;"yes", "", IFERROR((T396 - INDEX(T$2:T396, MATCH(TRUE, INDEX((T$2:T396&lt;&gt;"")*(N$2:N396="yes"), 0), 0))) * 1440 / COUNTIF(N$2:N396, "yes"), ""))</f>
        <v/>
      </c>
    </row>
    <row r="397" spans="18:21" x14ac:dyDescent="0.25">
      <c r="R397" s="2" t="str">
        <f t="shared" si="14"/>
        <v/>
      </c>
      <c r="S397" s="2" t="str" cm="1">
        <f t="array" aca="1" ref="S397" ca="1">IF(T397&lt;&gt;"", IFERROR((T397 - MAX(_xlfn._xlws.FILTER(T$2:T396, N$2:N396 = "yes"))) * 24 * 60, ""), "")</f>
        <v/>
      </c>
      <c r="T397" s="2" t="str">
        <f t="shared" ca="1" si="13"/>
        <v/>
      </c>
      <c r="U397" s="2" t="str" cm="1">
        <f t="array" ref="U397">IF(N397&lt;&gt;"yes", "", IFERROR((T397 - INDEX(T$2:T397, MATCH(TRUE, INDEX((T$2:T397&lt;&gt;"")*(N$2:N397="yes"), 0), 0))) * 1440 / COUNTIF(N$2:N397, "yes"), ""))</f>
        <v/>
      </c>
    </row>
    <row r="398" spans="18:21" x14ac:dyDescent="0.25">
      <c r="R398" s="2" t="str">
        <f t="shared" si="14"/>
        <v/>
      </c>
      <c r="S398" s="2" t="str" cm="1">
        <f t="array" aca="1" ref="S398" ca="1">IF(T398&lt;&gt;"", IFERROR((T398 - MAX(_xlfn._xlws.FILTER(T$2:T397, N$2:N397 = "yes"))) * 24 * 60, ""), "")</f>
        <v/>
      </c>
      <c r="T398" s="2" t="str">
        <f t="shared" ca="1" si="13"/>
        <v/>
      </c>
      <c r="U398" s="2" t="str" cm="1">
        <f t="array" ref="U398">IF(N398&lt;&gt;"yes", "", IFERROR((T398 - INDEX(T$2:T398, MATCH(TRUE, INDEX((T$2:T398&lt;&gt;"")*(N$2:N398="yes"), 0), 0))) * 1440 / COUNTIF(N$2:N398, "yes"), ""))</f>
        <v/>
      </c>
    </row>
    <row r="399" spans="18:21" x14ac:dyDescent="0.25">
      <c r="R399" s="2" t="str">
        <f t="shared" si="14"/>
        <v/>
      </c>
      <c r="S399" s="2" t="str" cm="1">
        <f t="array" aca="1" ref="S399" ca="1">IF(T399&lt;&gt;"", IFERROR((T399 - MAX(_xlfn._xlws.FILTER(T$2:T398, N$2:N398 = "yes"))) * 24 * 60, ""), "")</f>
        <v/>
      </c>
      <c r="T399" s="2" t="str">
        <f t="shared" ca="1" si="13"/>
        <v/>
      </c>
      <c r="U399" s="2" t="str" cm="1">
        <f t="array" ref="U399">IF(N399&lt;&gt;"yes", "", IFERROR((T399 - INDEX(T$2:T399, MATCH(TRUE, INDEX((T$2:T399&lt;&gt;"")*(N$2:N399="yes"), 0), 0))) * 1440 / COUNTIF(N$2:N399, "yes"), ""))</f>
        <v/>
      </c>
    </row>
    <row r="400" spans="18:21" x14ac:dyDescent="0.25">
      <c r="R400" s="2" t="str">
        <f t="shared" si="14"/>
        <v/>
      </c>
      <c r="S400" s="2" t="str" cm="1">
        <f t="array" aca="1" ref="S400" ca="1">IF(T400&lt;&gt;"", IFERROR((T400 - MAX(_xlfn._xlws.FILTER(T$2:T399, N$2:N399 = "yes"))) * 24 * 60, ""), "")</f>
        <v/>
      </c>
      <c r="T400" s="2" t="str">
        <f t="shared" ca="1" si="13"/>
        <v/>
      </c>
      <c r="U400" s="2" t="str" cm="1">
        <f t="array" ref="U400">IF(N400&lt;&gt;"yes", "", IFERROR((T400 - INDEX(T$2:T400, MATCH(TRUE, INDEX((T$2:T400&lt;&gt;"")*(N$2:N400="yes"), 0), 0))) * 1440 / COUNTIF(N$2:N400, "yes"), ""))</f>
        <v/>
      </c>
    </row>
    <row r="401" spans="18:21" x14ac:dyDescent="0.25">
      <c r="R401" s="2" t="str">
        <f t="shared" si="14"/>
        <v/>
      </c>
      <c r="S401" s="2" t="str" cm="1">
        <f t="array" aca="1" ref="S401" ca="1">IF(T401&lt;&gt;"", IFERROR((T401 - MAX(_xlfn._xlws.FILTER(T$2:T400, N$2:N400 = "yes"))) * 24 * 60, ""), "")</f>
        <v/>
      </c>
      <c r="T401" s="2" t="str">
        <f t="shared" ca="1" si="13"/>
        <v/>
      </c>
      <c r="U401" s="2" t="str" cm="1">
        <f t="array" ref="U401">IF(N401&lt;&gt;"yes", "", IFERROR((T401 - INDEX(T$2:T401, MATCH(TRUE, INDEX((T$2:T401&lt;&gt;"")*(N$2:N401="yes"), 0), 0))) * 1440 / COUNTIF(N$2:N401, "yes"), ""))</f>
        <v/>
      </c>
    </row>
    <row r="402" spans="18:21" x14ac:dyDescent="0.25">
      <c r="R402" s="2" t="str">
        <f t="shared" si="14"/>
        <v/>
      </c>
      <c r="S402" s="2" t="str" cm="1">
        <f t="array" aca="1" ref="S402" ca="1">IF(T402&lt;&gt;"", IFERROR((T402 - MAX(_xlfn._xlws.FILTER(T$2:T401, N$2:N401 = "yes"))) * 24 * 60, ""), "")</f>
        <v/>
      </c>
      <c r="T402" s="2" t="str">
        <f t="shared" ca="1" si="13"/>
        <v/>
      </c>
      <c r="U402" s="2" t="str" cm="1">
        <f t="array" ref="U402">IF(N402&lt;&gt;"yes", "", IFERROR((T402 - INDEX(T$2:T402, MATCH(TRUE, INDEX((T$2:T402&lt;&gt;"")*(N$2:N402="yes"), 0), 0))) * 1440 / COUNTIF(N$2:N402, "yes"), ""))</f>
        <v/>
      </c>
    </row>
    <row r="403" spans="18:21" x14ac:dyDescent="0.25">
      <c r="R403" s="2" t="str">
        <f t="shared" si="14"/>
        <v/>
      </c>
      <c r="S403" s="2" t="str" cm="1">
        <f t="array" aca="1" ref="S403" ca="1">IF(T403&lt;&gt;"", IFERROR((T403 - MAX(_xlfn._xlws.FILTER(T$2:T402, N$2:N402 = "yes"))) * 24 * 60, ""), "")</f>
        <v/>
      </c>
      <c r="T403" s="2" t="str">
        <f t="shared" ca="1" si="13"/>
        <v/>
      </c>
      <c r="U403" s="2" t="str" cm="1">
        <f t="array" ref="U403">IF(N403&lt;&gt;"yes", "", IFERROR((T403 - INDEX(T$2:T403, MATCH(TRUE, INDEX((T$2:T403&lt;&gt;"")*(N$2:N403="yes"), 0), 0))) * 1440 / COUNTIF(N$2:N403, "yes"), ""))</f>
        <v/>
      </c>
    </row>
    <row r="404" spans="18:21" x14ac:dyDescent="0.25">
      <c r="R404" s="2" t="str">
        <f t="shared" si="14"/>
        <v/>
      </c>
      <c r="S404" s="2" t="str" cm="1">
        <f t="array" aca="1" ref="S404" ca="1">IF(T404&lt;&gt;"", IFERROR((T404 - MAX(_xlfn._xlws.FILTER(T$2:T403, N$2:N403 = "yes"))) * 24 * 60, ""), "")</f>
        <v/>
      </c>
      <c r="T404" s="2" t="str">
        <f t="shared" ca="1" si="13"/>
        <v/>
      </c>
      <c r="U404" s="2" t="str" cm="1">
        <f t="array" ref="U404">IF(N404&lt;&gt;"yes", "", IFERROR((T404 - INDEX(T$2:T404, MATCH(TRUE, INDEX((T$2:T404&lt;&gt;"")*(N$2:N404="yes"), 0), 0))) * 1440 / COUNTIF(N$2:N404, "yes"), ""))</f>
        <v/>
      </c>
    </row>
    <row r="405" spans="18:21" x14ac:dyDescent="0.25">
      <c r="R405" s="2" t="str">
        <f t="shared" si="14"/>
        <v/>
      </c>
      <c r="S405" s="2" t="str" cm="1">
        <f t="array" aca="1" ref="S405" ca="1">IF(T405&lt;&gt;"", IFERROR((T405 - MAX(_xlfn._xlws.FILTER(T$2:T404, N$2:N404 = "yes"))) * 24 * 60, ""), "")</f>
        <v/>
      </c>
      <c r="T405" s="2" t="str">
        <f t="shared" ca="1" si="13"/>
        <v/>
      </c>
      <c r="U405" s="2" t="str" cm="1">
        <f t="array" ref="U405">IF(N405&lt;&gt;"yes", "", IFERROR((T405 - INDEX(T$2:T405, MATCH(TRUE, INDEX((T$2:T405&lt;&gt;"")*(N$2:N405="yes"), 0), 0))) * 1440 / COUNTIF(N$2:N405, "yes"), ""))</f>
        <v/>
      </c>
    </row>
    <row r="406" spans="18:21" x14ac:dyDescent="0.25">
      <c r="R406" s="2" t="str">
        <f t="shared" si="14"/>
        <v/>
      </c>
      <c r="S406" s="2" t="str" cm="1">
        <f t="array" aca="1" ref="S406" ca="1">IF(T406&lt;&gt;"", IFERROR((T406 - MAX(_xlfn._xlws.FILTER(T$2:T405, N$2:N405 = "yes"))) * 24 * 60, ""), "")</f>
        <v/>
      </c>
      <c r="T406" s="2" t="str">
        <f t="shared" ca="1" si="13"/>
        <v/>
      </c>
      <c r="U406" s="2" t="str" cm="1">
        <f t="array" ref="U406">IF(N406&lt;&gt;"yes", "", IFERROR((T406 - INDEX(T$2:T406, MATCH(TRUE, INDEX((T$2:T406&lt;&gt;"")*(N$2:N406="yes"), 0), 0))) * 1440 / COUNTIF(N$2:N406, "yes"), ""))</f>
        <v/>
      </c>
    </row>
    <row r="407" spans="18:21" x14ac:dyDescent="0.25">
      <c r="R407" s="2" t="str">
        <f t="shared" si="14"/>
        <v/>
      </c>
      <c r="S407" s="2" t="str" cm="1">
        <f t="array" aca="1" ref="S407" ca="1">IF(T407&lt;&gt;"", IFERROR((T407 - MAX(_xlfn._xlws.FILTER(T$2:T406, N$2:N406 = "yes"))) * 24 * 60, ""), "")</f>
        <v/>
      </c>
      <c r="T407" s="2" t="str">
        <f t="shared" ca="1" si="13"/>
        <v/>
      </c>
      <c r="U407" s="2" t="str" cm="1">
        <f t="array" ref="U407">IF(N407&lt;&gt;"yes", "", IFERROR((T407 - INDEX(T$2:T407, MATCH(TRUE, INDEX((T$2:T407&lt;&gt;"")*(N$2:N407="yes"), 0), 0))) * 1440 / COUNTIF(N$2:N407, "yes"), ""))</f>
        <v/>
      </c>
    </row>
    <row r="408" spans="18:21" x14ac:dyDescent="0.25">
      <c r="R408" s="2" t="str">
        <f t="shared" si="14"/>
        <v/>
      </c>
      <c r="S408" s="2" t="str" cm="1">
        <f t="array" aca="1" ref="S408" ca="1">IF(T408&lt;&gt;"", IFERROR((T408 - MAX(_xlfn._xlws.FILTER(T$2:T407, N$2:N407 = "yes"))) * 24 * 60, ""), "")</f>
        <v/>
      </c>
      <c r="T408" s="2" t="str">
        <f t="shared" ca="1" si="13"/>
        <v/>
      </c>
      <c r="U408" s="2" t="str" cm="1">
        <f t="array" ref="U408">IF(N408&lt;&gt;"yes", "", IFERROR((T408 - INDEX(T$2:T408, MATCH(TRUE, INDEX((T$2:T408&lt;&gt;"")*(N$2:N408="yes"), 0), 0))) * 1440 / COUNTIF(N$2:N408, "yes"), ""))</f>
        <v/>
      </c>
    </row>
    <row r="409" spans="18:21" x14ac:dyDescent="0.25">
      <c r="R409" s="2" t="str">
        <f t="shared" si="14"/>
        <v/>
      </c>
      <c r="S409" s="2" t="str" cm="1">
        <f t="array" aca="1" ref="S409" ca="1">IF(T409&lt;&gt;"", IFERROR((T409 - MAX(_xlfn._xlws.FILTER(T$2:T408, N$2:N408 = "yes"))) * 24 * 60, ""), "")</f>
        <v/>
      </c>
      <c r="T409" s="2" t="str">
        <f t="shared" ca="1" si="13"/>
        <v/>
      </c>
      <c r="U409" s="2" t="str" cm="1">
        <f t="array" ref="U409">IF(N409&lt;&gt;"yes", "", IFERROR((T409 - INDEX(T$2:T409, MATCH(TRUE, INDEX((T$2:T409&lt;&gt;"")*(N$2:N409="yes"), 0), 0))) * 1440 / COUNTIF(N$2:N409, "yes"), ""))</f>
        <v/>
      </c>
    </row>
    <row r="410" spans="18:21" x14ac:dyDescent="0.25">
      <c r="R410" s="2" t="str">
        <f t="shared" si="14"/>
        <v/>
      </c>
      <c r="S410" s="2" t="str" cm="1">
        <f t="array" aca="1" ref="S410" ca="1">IF(T410&lt;&gt;"", IFERROR((T410 - MAX(_xlfn._xlws.FILTER(T$2:T409, N$2:N409 = "yes"))) * 24 * 60, ""), "")</f>
        <v/>
      </c>
      <c r="T410" s="2" t="str">
        <f t="shared" ca="1" si="13"/>
        <v/>
      </c>
      <c r="U410" s="2" t="str" cm="1">
        <f t="array" ref="U410">IF(N410&lt;&gt;"yes", "", IFERROR((T410 - INDEX(T$2:T410, MATCH(TRUE, INDEX((T$2:T410&lt;&gt;"")*(N$2:N410="yes"), 0), 0))) * 1440 / COUNTIF(N$2:N410, "yes"), ""))</f>
        <v/>
      </c>
    </row>
    <row r="411" spans="18:21" x14ac:dyDescent="0.25">
      <c r="R411" s="2" t="str">
        <f t="shared" si="14"/>
        <v/>
      </c>
      <c r="S411" s="2" t="str" cm="1">
        <f t="array" aca="1" ref="S411" ca="1">IF(T411&lt;&gt;"", IFERROR((T411 - MAX(_xlfn._xlws.FILTER(T$2:T410, N$2:N410 = "yes"))) * 24 * 60, ""), "")</f>
        <v/>
      </c>
      <c r="T411" s="2" t="str">
        <f t="shared" ca="1" si="13"/>
        <v/>
      </c>
      <c r="U411" s="2" t="str" cm="1">
        <f t="array" ref="U411">IF(N411&lt;&gt;"yes", "", IFERROR((T411 - INDEX(T$2:T411, MATCH(TRUE, INDEX((T$2:T411&lt;&gt;"")*(N$2:N411="yes"), 0), 0))) * 1440 / COUNTIF(N$2:N411, "yes"), ""))</f>
        <v/>
      </c>
    </row>
    <row r="412" spans="18:21" x14ac:dyDescent="0.25">
      <c r="R412" s="2" t="str">
        <f t="shared" si="14"/>
        <v/>
      </c>
      <c r="S412" s="2" t="str" cm="1">
        <f t="array" aca="1" ref="S412" ca="1">IF(T412&lt;&gt;"", IFERROR((T412 - MAX(_xlfn._xlws.FILTER(T$2:T411, N$2:N411 = "yes"))) * 24 * 60, ""), "")</f>
        <v/>
      </c>
      <c r="T412" s="2" t="str">
        <f t="shared" ca="1" si="13"/>
        <v/>
      </c>
      <c r="U412" s="2" t="str" cm="1">
        <f t="array" ref="U412">IF(N412&lt;&gt;"yes", "", IFERROR((T412 - INDEX(T$2:T412, MATCH(TRUE, INDEX((T$2:T412&lt;&gt;"")*(N$2:N412="yes"), 0), 0))) * 1440 / COUNTIF(N$2:N412, "yes"), ""))</f>
        <v/>
      </c>
    </row>
    <row r="413" spans="18:21" x14ac:dyDescent="0.25">
      <c r="R413" s="2" t="str">
        <f t="shared" si="14"/>
        <v/>
      </c>
      <c r="S413" s="2" t="str" cm="1">
        <f t="array" aca="1" ref="S413" ca="1">IF(T413&lt;&gt;"", IFERROR((T413 - MAX(_xlfn._xlws.FILTER(T$2:T412, N$2:N412 = "yes"))) * 24 * 60, ""), "")</f>
        <v/>
      </c>
      <c r="T413" s="2" t="str">
        <f t="shared" ca="1" si="13"/>
        <v/>
      </c>
      <c r="U413" s="2" t="str" cm="1">
        <f t="array" ref="U413">IF(N413&lt;&gt;"yes", "", IFERROR((T413 - INDEX(T$2:T413, MATCH(TRUE, INDEX((T$2:T413&lt;&gt;"")*(N$2:N413="yes"), 0), 0))) * 1440 / COUNTIF(N$2:N413, "yes"), ""))</f>
        <v/>
      </c>
    </row>
    <row r="414" spans="18:21" x14ac:dyDescent="0.25">
      <c r="R414" s="2" t="str">
        <f t="shared" si="14"/>
        <v/>
      </c>
      <c r="S414" s="2" t="str" cm="1">
        <f t="array" aca="1" ref="S414" ca="1">IF(T414&lt;&gt;"", IFERROR((T414 - MAX(_xlfn._xlws.FILTER(T$2:T413, N$2:N413 = "yes"))) * 24 * 60, ""), "")</f>
        <v/>
      </c>
      <c r="T414" s="2" t="str">
        <f t="shared" ca="1" si="13"/>
        <v/>
      </c>
      <c r="U414" s="2" t="str" cm="1">
        <f t="array" ref="U414">IF(N414&lt;&gt;"yes", "", IFERROR((T414 - INDEX(T$2:T414, MATCH(TRUE, INDEX((T$2:T414&lt;&gt;"")*(N$2:N414="yes"), 0), 0))) * 1440 / COUNTIF(N$2:N414, "yes"), ""))</f>
        <v/>
      </c>
    </row>
    <row r="415" spans="18:21" x14ac:dyDescent="0.25">
      <c r="R415" s="2" t="str">
        <f t="shared" si="14"/>
        <v/>
      </c>
      <c r="S415" s="2" t="str" cm="1">
        <f t="array" aca="1" ref="S415" ca="1">IF(T415&lt;&gt;"", IFERROR((T415 - MAX(_xlfn._xlws.FILTER(T$2:T414, N$2:N414 = "yes"))) * 24 * 60, ""), "")</f>
        <v/>
      </c>
      <c r="T415" s="2" t="str">
        <f t="shared" ca="1" si="13"/>
        <v/>
      </c>
      <c r="U415" s="2" t="str" cm="1">
        <f t="array" ref="U415">IF(N415&lt;&gt;"yes", "", IFERROR((T415 - INDEX(T$2:T415, MATCH(TRUE, INDEX((T$2:T415&lt;&gt;"")*(N$2:N415="yes"), 0), 0))) * 1440 / COUNTIF(N$2:N415, "yes"), ""))</f>
        <v/>
      </c>
    </row>
    <row r="416" spans="18:21" x14ac:dyDescent="0.25">
      <c r="R416" s="2" t="str">
        <f t="shared" si="14"/>
        <v/>
      </c>
      <c r="S416" s="2" t="str" cm="1">
        <f t="array" aca="1" ref="S416" ca="1">IF(T416&lt;&gt;"", IFERROR((T416 - MAX(_xlfn._xlws.FILTER(T$2:T415, N$2:N415 = "yes"))) * 24 * 60, ""), "")</f>
        <v/>
      </c>
      <c r="T416" s="2" t="str">
        <f t="shared" ca="1" si="13"/>
        <v/>
      </c>
      <c r="U416" s="2" t="str" cm="1">
        <f t="array" ref="U416">IF(N416&lt;&gt;"yes", "", IFERROR((T416 - INDEX(T$2:T416, MATCH(TRUE, INDEX((T$2:T416&lt;&gt;"")*(N$2:N416="yes"), 0), 0))) * 1440 / COUNTIF(N$2:N416, "yes"), ""))</f>
        <v/>
      </c>
    </row>
    <row r="417" spans="18:21" x14ac:dyDescent="0.25">
      <c r="R417" s="2" t="str">
        <f t="shared" si="14"/>
        <v/>
      </c>
      <c r="S417" s="2" t="str" cm="1">
        <f t="array" aca="1" ref="S417" ca="1">IF(T417&lt;&gt;"", IFERROR((T417 - MAX(_xlfn._xlws.FILTER(T$2:T416, N$2:N416 = "yes"))) * 24 * 60, ""), "")</f>
        <v/>
      </c>
      <c r="T417" s="2" t="str">
        <f t="shared" ca="1" si="13"/>
        <v/>
      </c>
      <c r="U417" s="2" t="str" cm="1">
        <f t="array" ref="U417">IF(N417&lt;&gt;"yes", "", IFERROR((T417 - INDEX(T$2:T417, MATCH(TRUE, INDEX((T$2:T417&lt;&gt;"")*(N$2:N417="yes"), 0), 0))) * 1440 / COUNTIF(N$2:N417, "yes"), ""))</f>
        <v/>
      </c>
    </row>
    <row r="418" spans="18:21" x14ac:dyDescent="0.25">
      <c r="R418" s="2" t="str">
        <f t="shared" si="14"/>
        <v/>
      </c>
      <c r="S418" s="2" t="str" cm="1">
        <f t="array" aca="1" ref="S418" ca="1">IF(T418&lt;&gt;"", IFERROR((T418 - MAX(_xlfn._xlws.FILTER(T$2:T417, N$2:N417 = "yes"))) * 24 * 60, ""), "")</f>
        <v/>
      </c>
      <c r="T418" s="2" t="str">
        <f t="shared" ca="1" si="13"/>
        <v/>
      </c>
      <c r="U418" s="2" t="str" cm="1">
        <f t="array" ref="U418">IF(N418&lt;&gt;"yes", "", IFERROR((T418 - INDEX(T$2:T418, MATCH(TRUE, INDEX((T$2:T418&lt;&gt;"")*(N$2:N418="yes"), 0), 0))) * 1440 / COUNTIF(N$2:N418, "yes"), ""))</f>
        <v/>
      </c>
    </row>
    <row r="419" spans="18:21" x14ac:dyDescent="0.25">
      <c r="R419" s="2" t="str">
        <f t="shared" si="14"/>
        <v/>
      </c>
      <c r="S419" s="2" t="str" cm="1">
        <f t="array" aca="1" ref="S419" ca="1">IF(T419&lt;&gt;"", IFERROR((T419 - MAX(_xlfn._xlws.FILTER(T$2:T418, N$2:N418 = "yes"))) * 24 * 60, ""), "")</f>
        <v/>
      </c>
      <c r="T419" s="2" t="str">
        <f t="shared" ca="1" si="13"/>
        <v/>
      </c>
      <c r="U419" s="2" t="str" cm="1">
        <f t="array" ref="U419">IF(N419&lt;&gt;"yes", "", IFERROR((T419 - INDEX(T$2:T419, MATCH(TRUE, INDEX((T$2:T419&lt;&gt;"")*(N$2:N419="yes"), 0), 0))) * 1440 / COUNTIF(N$2:N419, "yes"), ""))</f>
        <v/>
      </c>
    </row>
    <row r="420" spans="18:21" x14ac:dyDescent="0.25">
      <c r="R420" s="2" t="str">
        <f t="shared" si="14"/>
        <v/>
      </c>
      <c r="S420" s="2" t="str" cm="1">
        <f t="array" aca="1" ref="S420" ca="1">IF(T420&lt;&gt;"", IFERROR((T420 - MAX(_xlfn._xlws.FILTER(T$2:T419, N$2:N419 = "yes"))) * 24 * 60, ""), "")</f>
        <v/>
      </c>
      <c r="T420" s="2" t="str">
        <f t="shared" ca="1" si="13"/>
        <v/>
      </c>
      <c r="U420" s="2" t="str" cm="1">
        <f t="array" ref="U420">IF(N420&lt;&gt;"yes", "", IFERROR((T420 - INDEX(T$2:T420, MATCH(TRUE, INDEX((T$2:T420&lt;&gt;"")*(N$2:N420="yes"), 0), 0))) * 1440 / COUNTIF(N$2:N420, "yes"), ""))</f>
        <v/>
      </c>
    </row>
    <row r="421" spans="18:21" x14ac:dyDescent="0.25">
      <c r="R421" s="2" t="str">
        <f t="shared" si="14"/>
        <v/>
      </c>
      <c r="S421" s="2" t="str" cm="1">
        <f t="array" aca="1" ref="S421" ca="1">IF(T421&lt;&gt;"", IFERROR((T421 - MAX(_xlfn._xlws.FILTER(T$2:T420, N$2:N420 = "yes"))) * 24 * 60, ""), "")</f>
        <v/>
      </c>
      <c r="T421" s="2" t="str">
        <f t="shared" ca="1" si="13"/>
        <v/>
      </c>
      <c r="U421" s="2" t="str" cm="1">
        <f t="array" ref="U421">IF(N421&lt;&gt;"yes", "", IFERROR((T421 - INDEX(T$2:T421, MATCH(TRUE, INDEX((T$2:T421&lt;&gt;"")*(N$2:N421="yes"), 0), 0))) * 1440 / COUNTIF(N$2:N421, "yes"), ""))</f>
        <v/>
      </c>
    </row>
    <row r="422" spans="18:21" x14ac:dyDescent="0.25">
      <c r="R422" s="2" t="str">
        <f t="shared" si="14"/>
        <v/>
      </c>
      <c r="S422" s="2" t="str" cm="1">
        <f t="array" aca="1" ref="S422" ca="1">IF(T422&lt;&gt;"", IFERROR((T422 - MAX(_xlfn._xlws.FILTER(T$2:T421, N$2:N421 = "yes"))) * 24 * 60, ""), "")</f>
        <v/>
      </c>
      <c r="T422" s="2" t="str">
        <f t="shared" ca="1" si="13"/>
        <v/>
      </c>
      <c r="U422" s="2" t="str" cm="1">
        <f t="array" ref="U422">IF(N422&lt;&gt;"yes", "", IFERROR((T422 - INDEX(T$2:T422, MATCH(TRUE, INDEX((T$2:T422&lt;&gt;"")*(N$2:N422="yes"), 0), 0))) * 1440 / COUNTIF(N$2:N422, "yes"), ""))</f>
        <v/>
      </c>
    </row>
    <row r="423" spans="18:21" x14ac:dyDescent="0.25">
      <c r="R423" s="2" t="str">
        <f t="shared" si="14"/>
        <v/>
      </c>
      <c r="S423" s="2" t="str" cm="1">
        <f t="array" aca="1" ref="S423" ca="1">IF(T423&lt;&gt;"", IFERROR((T423 - MAX(_xlfn._xlws.FILTER(T$2:T422, N$2:N422 = "yes"))) * 24 * 60, ""), "")</f>
        <v/>
      </c>
      <c r="T423" s="2" t="str">
        <f t="shared" ca="1" si="13"/>
        <v/>
      </c>
      <c r="U423" s="2" t="str" cm="1">
        <f t="array" ref="U423">IF(N423&lt;&gt;"yes", "", IFERROR((T423 - INDEX(T$2:T423, MATCH(TRUE, INDEX((T$2:T423&lt;&gt;"")*(N$2:N423="yes"), 0), 0))) * 1440 / COUNTIF(N$2:N423, "yes"), ""))</f>
        <v/>
      </c>
    </row>
    <row r="424" spans="18:21" x14ac:dyDescent="0.25">
      <c r="R424" s="2" t="str">
        <f t="shared" si="14"/>
        <v/>
      </c>
      <c r="S424" s="2" t="str" cm="1">
        <f t="array" aca="1" ref="S424" ca="1">IF(T424&lt;&gt;"", IFERROR((T424 - MAX(_xlfn._xlws.FILTER(T$2:T423, N$2:N423 = "yes"))) * 24 * 60, ""), "")</f>
        <v/>
      </c>
      <c r="T424" s="2" t="str">
        <f t="shared" ca="1" si="13"/>
        <v/>
      </c>
      <c r="U424" s="2" t="str" cm="1">
        <f t="array" ref="U424">IF(N424&lt;&gt;"yes", "", IFERROR((T424 - INDEX(T$2:T424, MATCH(TRUE, INDEX((T$2:T424&lt;&gt;"")*(N$2:N424="yes"), 0), 0))) * 1440 / COUNTIF(N$2:N424, "yes"), ""))</f>
        <v/>
      </c>
    </row>
    <row r="425" spans="18:21" x14ac:dyDescent="0.25">
      <c r="R425" s="2" t="str">
        <f t="shared" si="14"/>
        <v/>
      </c>
      <c r="S425" s="2" t="str" cm="1">
        <f t="array" aca="1" ref="S425" ca="1">IF(T425&lt;&gt;"", IFERROR((T425 - MAX(_xlfn._xlws.FILTER(T$2:T424, N$2:N424 = "yes"))) * 24 * 60, ""), "")</f>
        <v/>
      </c>
      <c r="T425" s="2" t="str">
        <f t="shared" ca="1" si="13"/>
        <v/>
      </c>
      <c r="U425" s="2" t="str" cm="1">
        <f t="array" ref="U425">IF(N425&lt;&gt;"yes", "", IFERROR((T425 - INDEX(T$2:T425, MATCH(TRUE, INDEX((T$2:T425&lt;&gt;"")*(N$2:N425="yes"), 0), 0))) * 1440 / COUNTIF(N$2:N425, "yes"), ""))</f>
        <v/>
      </c>
    </row>
    <row r="426" spans="18:21" x14ac:dyDescent="0.25">
      <c r="R426" s="2" t="str">
        <f t="shared" si="14"/>
        <v/>
      </c>
      <c r="S426" s="2" t="str" cm="1">
        <f t="array" aca="1" ref="S426" ca="1">IF(T426&lt;&gt;"", IFERROR((T426 - MAX(_xlfn._xlws.FILTER(T$2:T425, N$2:N425 = "yes"))) * 24 * 60, ""), "")</f>
        <v/>
      </c>
      <c r="T426" s="2" t="str">
        <f t="shared" ca="1" si="13"/>
        <v/>
      </c>
      <c r="U426" s="2" t="str" cm="1">
        <f t="array" ref="U426">IF(N426&lt;&gt;"yes", "", IFERROR((T426 - INDEX(T$2:T426, MATCH(TRUE, INDEX((T$2:T426&lt;&gt;"")*(N$2:N426="yes"), 0), 0))) * 1440 / COUNTIF(N$2:N426, "yes"), ""))</f>
        <v/>
      </c>
    </row>
    <row r="427" spans="18:21" x14ac:dyDescent="0.25">
      <c r="R427" s="2" t="str">
        <f t="shared" si="14"/>
        <v/>
      </c>
      <c r="S427" s="2" t="str" cm="1">
        <f t="array" aca="1" ref="S427" ca="1">IF(T427&lt;&gt;"", IFERROR((T427 - MAX(_xlfn._xlws.FILTER(T$2:T426, N$2:N426 = "yes"))) * 24 * 60, ""), "")</f>
        <v/>
      </c>
      <c r="T427" s="2" t="str">
        <f t="shared" ca="1" si="13"/>
        <v/>
      </c>
      <c r="U427" s="2" t="str" cm="1">
        <f t="array" ref="U427">IF(N427&lt;&gt;"yes", "", IFERROR((T427 - INDEX(T$2:T427, MATCH(TRUE, INDEX((T$2:T427&lt;&gt;"")*(N$2:N427="yes"), 0), 0))) * 1440 / COUNTIF(N$2:N427, "yes"), ""))</f>
        <v/>
      </c>
    </row>
    <row r="428" spans="18:21" x14ac:dyDescent="0.25">
      <c r="R428" s="2" t="str">
        <f t="shared" si="14"/>
        <v/>
      </c>
      <c r="S428" s="2" t="str" cm="1">
        <f t="array" aca="1" ref="S428" ca="1">IF(T428&lt;&gt;"", IFERROR((T428 - MAX(_xlfn._xlws.FILTER(T$2:T427, N$2:N427 = "yes"))) * 24 * 60, ""), "")</f>
        <v/>
      </c>
      <c r="T428" s="2" t="str">
        <f t="shared" ca="1" si="13"/>
        <v/>
      </c>
      <c r="U428" s="2" t="str" cm="1">
        <f t="array" ref="U428">IF(N428&lt;&gt;"yes", "", IFERROR((T428 - INDEX(T$2:T428, MATCH(TRUE, INDEX((T$2:T428&lt;&gt;"")*(N$2:N428="yes"), 0), 0))) * 1440 / COUNTIF(N$2:N428, "yes"), ""))</f>
        <v/>
      </c>
    </row>
    <row r="429" spans="18:21" x14ac:dyDescent="0.25">
      <c r="R429" s="2" t="str">
        <f t="shared" si="14"/>
        <v/>
      </c>
      <c r="S429" s="2" t="str" cm="1">
        <f t="array" aca="1" ref="S429" ca="1">IF(T429&lt;&gt;"", IFERROR((T429 - MAX(_xlfn._xlws.FILTER(T$2:T428, N$2:N428 = "yes"))) * 24 * 60, ""), "")</f>
        <v/>
      </c>
      <c r="T429" s="2" t="str">
        <f t="shared" ca="1" si="13"/>
        <v/>
      </c>
      <c r="U429" s="2" t="str" cm="1">
        <f t="array" ref="U429">IF(N429&lt;&gt;"yes", "", IFERROR((T429 - INDEX(T$2:T429, MATCH(TRUE, INDEX((T$2:T429&lt;&gt;"")*(N$2:N429="yes"), 0), 0))) * 1440 / COUNTIF(N$2:N429, "yes"), ""))</f>
        <v/>
      </c>
    </row>
    <row r="430" spans="18:21" x14ac:dyDescent="0.25">
      <c r="R430" s="2" t="str">
        <f t="shared" si="14"/>
        <v/>
      </c>
      <c r="S430" s="2" t="str" cm="1">
        <f t="array" aca="1" ref="S430" ca="1">IF(T430&lt;&gt;"", IFERROR((T430 - MAX(_xlfn._xlws.FILTER(T$2:T429, N$2:N429 = "yes"))) * 24 * 60, ""), "")</f>
        <v/>
      </c>
      <c r="T430" s="2" t="str">
        <f t="shared" ca="1" si="13"/>
        <v/>
      </c>
      <c r="U430" s="2" t="str" cm="1">
        <f t="array" ref="U430">IF(N430&lt;&gt;"yes", "", IFERROR((T430 - INDEX(T$2:T430, MATCH(TRUE, INDEX((T$2:T430&lt;&gt;"")*(N$2:N430="yes"), 0), 0))) * 1440 / COUNTIF(N$2:N430, "yes"), ""))</f>
        <v/>
      </c>
    </row>
    <row r="431" spans="18:21" x14ac:dyDescent="0.25">
      <c r="R431" s="2" t="str">
        <f t="shared" si="14"/>
        <v/>
      </c>
      <c r="S431" s="2" t="str" cm="1">
        <f t="array" aca="1" ref="S431" ca="1">IF(T431&lt;&gt;"", IFERROR((T431 - MAX(_xlfn._xlws.FILTER(T$2:T430, N$2:N430 = "yes"))) * 24 * 60, ""), "")</f>
        <v/>
      </c>
      <c r="T431" s="2" t="str">
        <f t="shared" ca="1" si="13"/>
        <v/>
      </c>
      <c r="U431" s="2" t="str" cm="1">
        <f t="array" ref="U431">IF(N431&lt;&gt;"yes", "", IFERROR((T431 - INDEX(T$2:T431, MATCH(TRUE, INDEX((T$2:T431&lt;&gt;"")*(N$2:N431="yes"), 0), 0))) * 1440 / COUNTIF(N$2:N431, "yes"), ""))</f>
        <v/>
      </c>
    </row>
    <row r="432" spans="18:21" x14ac:dyDescent="0.25">
      <c r="R432" s="2" t="str">
        <f t="shared" si="14"/>
        <v/>
      </c>
      <c r="S432" s="2" t="str" cm="1">
        <f t="array" aca="1" ref="S432" ca="1">IF(T432&lt;&gt;"", IFERROR((T432 - MAX(_xlfn._xlws.FILTER(T$2:T431, N$2:N431 = "yes"))) * 24 * 60, ""), "")</f>
        <v/>
      </c>
      <c r="T432" s="2" t="str">
        <f t="shared" ca="1" si="13"/>
        <v/>
      </c>
      <c r="U432" s="2" t="str" cm="1">
        <f t="array" ref="U432">IF(N432&lt;&gt;"yes", "", IFERROR((T432 - INDEX(T$2:T432, MATCH(TRUE, INDEX((T$2:T432&lt;&gt;"")*(N$2:N432="yes"), 0), 0))) * 1440 / COUNTIF(N$2:N432, "yes"), ""))</f>
        <v/>
      </c>
    </row>
    <row r="433" spans="18:21" x14ac:dyDescent="0.25">
      <c r="R433" s="2" t="str">
        <f t="shared" si="14"/>
        <v/>
      </c>
      <c r="S433" s="2" t="str" cm="1">
        <f t="array" aca="1" ref="S433" ca="1">IF(T433&lt;&gt;"", IFERROR((T433 - MAX(_xlfn._xlws.FILTER(T$2:T432, N$2:N432 = "yes"))) * 24 * 60, ""), "")</f>
        <v/>
      </c>
      <c r="T433" s="2" t="str">
        <f t="shared" ca="1" si="13"/>
        <v/>
      </c>
      <c r="U433" s="2" t="str" cm="1">
        <f t="array" ref="U433">IF(N433&lt;&gt;"yes", "", IFERROR((T433 - INDEX(T$2:T433, MATCH(TRUE, INDEX((T$2:T433&lt;&gt;"")*(N$2:N433="yes"), 0), 0))) * 1440 / COUNTIF(N$2:N433, "yes"), ""))</f>
        <v/>
      </c>
    </row>
    <row r="434" spans="18:21" x14ac:dyDescent="0.25">
      <c r="R434" s="2" t="str">
        <f t="shared" si="14"/>
        <v/>
      </c>
      <c r="S434" s="2" t="str" cm="1">
        <f t="array" aca="1" ref="S434" ca="1">IF(T434&lt;&gt;"", IFERROR((T434 - MAX(_xlfn._xlws.FILTER(T$2:T433, N$2:N433 = "yes"))) * 24 * 60, ""), "")</f>
        <v/>
      </c>
      <c r="T434" s="2" t="str">
        <f t="shared" ca="1" si="13"/>
        <v/>
      </c>
      <c r="U434" s="2" t="str" cm="1">
        <f t="array" ref="U434">IF(N434&lt;&gt;"yes", "", IFERROR((T434 - INDEX(T$2:T434, MATCH(TRUE, INDEX((T$2:T434&lt;&gt;"")*(N$2:N434="yes"), 0), 0))) * 1440 / COUNTIF(N$2:N434, "yes"), ""))</f>
        <v/>
      </c>
    </row>
    <row r="435" spans="18:21" x14ac:dyDescent="0.25">
      <c r="R435" s="2" t="str">
        <f t="shared" si="14"/>
        <v/>
      </c>
      <c r="S435" s="2" t="str" cm="1">
        <f t="array" aca="1" ref="S435" ca="1">IF(T435&lt;&gt;"", IFERROR((T435 - MAX(_xlfn._xlws.FILTER(T$2:T434, N$2:N434 = "yes"))) * 24 * 60, ""), "")</f>
        <v/>
      </c>
      <c r="T435" s="2" t="str">
        <f t="shared" ca="1" si="13"/>
        <v/>
      </c>
      <c r="U435" s="2" t="str" cm="1">
        <f t="array" ref="U435">IF(N435&lt;&gt;"yes", "", IFERROR((T435 - INDEX(T$2:T435, MATCH(TRUE, INDEX((T$2:T435&lt;&gt;"")*(N$2:N435="yes"), 0), 0))) * 1440 / COUNTIF(N$2:N435, "yes"), ""))</f>
        <v/>
      </c>
    </row>
    <row r="436" spans="18:21" x14ac:dyDescent="0.25">
      <c r="R436" s="2" t="str">
        <f t="shared" si="14"/>
        <v/>
      </c>
      <c r="S436" s="2" t="str" cm="1">
        <f t="array" aca="1" ref="S436" ca="1">IF(T436&lt;&gt;"", IFERROR((T436 - MAX(_xlfn._xlws.FILTER(T$2:T435, N$2:N435 = "yes"))) * 24 * 60, ""), "")</f>
        <v/>
      </c>
      <c r="T436" s="2" t="str">
        <f t="shared" ca="1" si="13"/>
        <v/>
      </c>
      <c r="U436" s="2" t="str" cm="1">
        <f t="array" ref="U436">IF(N436&lt;&gt;"yes", "", IFERROR((T436 - INDEX(T$2:T436, MATCH(TRUE, INDEX((T$2:T436&lt;&gt;"")*(N$2:N436="yes"), 0), 0))) * 1440 / COUNTIF(N$2:N436, "yes"), ""))</f>
        <v/>
      </c>
    </row>
    <row r="437" spans="18:21" x14ac:dyDescent="0.25">
      <c r="R437" s="2" t="str">
        <f t="shared" si="14"/>
        <v/>
      </c>
      <c r="S437" s="2" t="str" cm="1">
        <f t="array" aca="1" ref="S437" ca="1">IF(T437&lt;&gt;"", IFERROR((T437 - MAX(_xlfn._xlws.FILTER(T$2:T436, N$2:N436 = "yes"))) * 24 * 60, ""), "")</f>
        <v/>
      </c>
      <c r="T437" s="2" t="str">
        <f t="shared" ca="1" si="13"/>
        <v/>
      </c>
      <c r="U437" s="2" t="str" cm="1">
        <f t="array" ref="U437">IF(N437&lt;&gt;"yes", "", IFERROR((T437 - INDEX(T$2:T437, MATCH(TRUE, INDEX((T$2:T437&lt;&gt;"")*(N$2:N437="yes"), 0), 0))) * 1440 / COUNTIF(N$2:N437, "yes"), ""))</f>
        <v/>
      </c>
    </row>
    <row r="438" spans="18:21" x14ac:dyDescent="0.25">
      <c r="R438" s="2" t="str">
        <f t="shared" si="14"/>
        <v/>
      </c>
      <c r="S438" s="2" t="str" cm="1">
        <f t="array" aca="1" ref="S438" ca="1">IF(T438&lt;&gt;"", IFERROR((T438 - MAX(_xlfn._xlws.FILTER(T$2:T437, N$2:N437 = "yes"))) * 24 * 60, ""), "")</f>
        <v/>
      </c>
      <c r="T438" s="2" t="str">
        <f t="shared" ca="1" si="13"/>
        <v/>
      </c>
      <c r="U438" s="2" t="str" cm="1">
        <f t="array" ref="U438">IF(N438&lt;&gt;"yes", "", IFERROR((T438 - INDEX(T$2:T438, MATCH(TRUE, INDEX((T$2:T438&lt;&gt;"")*(N$2:N438="yes"), 0), 0))) * 1440 / COUNTIF(N$2:N438, "yes"), ""))</f>
        <v/>
      </c>
    </row>
    <row r="439" spans="18:21" x14ac:dyDescent="0.25">
      <c r="R439" s="2" t="str">
        <f t="shared" si="14"/>
        <v/>
      </c>
      <c r="S439" s="2" t="str" cm="1">
        <f t="array" aca="1" ref="S439" ca="1">IF(T439&lt;&gt;"", IFERROR((T439 - MAX(_xlfn._xlws.FILTER(T$2:T438, N$2:N438 = "yes"))) * 24 * 60, ""), "")</f>
        <v/>
      </c>
      <c r="T439" s="2" t="str">
        <f t="shared" ca="1" si="13"/>
        <v/>
      </c>
      <c r="U439" s="2" t="str" cm="1">
        <f t="array" ref="U439">IF(N439&lt;&gt;"yes", "", IFERROR((T439 - INDEX(T$2:T439, MATCH(TRUE, INDEX((T$2:T439&lt;&gt;"")*(N$2:N439="yes"), 0), 0))) * 1440 / COUNTIF(N$2:N439, "yes"), ""))</f>
        <v/>
      </c>
    </row>
    <row r="440" spans="18:21" x14ac:dyDescent="0.25">
      <c r="R440" s="2" t="str">
        <f t="shared" si="14"/>
        <v/>
      </c>
      <c r="S440" s="2" t="str" cm="1">
        <f t="array" aca="1" ref="S440" ca="1">IF(T440&lt;&gt;"", IFERROR((T440 - MAX(_xlfn._xlws.FILTER(T$2:T439, N$2:N439 = "yes"))) * 24 * 60, ""), "")</f>
        <v/>
      </c>
      <c r="T440" s="2" t="str">
        <f t="shared" ca="1" si="13"/>
        <v/>
      </c>
      <c r="U440" s="2" t="str" cm="1">
        <f t="array" ref="U440">IF(N440&lt;&gt;"yes", "", IFERROR((T440 - INDEX(T$2:T440, MATCH(TRUE, INDEX((T$2:T440&lt;&gt;"")*(N$2:N440="yes"), 0), 0))) * 1440 / COUNTIF(N$2:N440, "yes"), ""))</f>
        <v/>
      </c>
    </row>
    <row r="441" spans="18:21" x14ac:dyDescent="0.25">
      <c r="R441" s="2" t="str">
        <f t="shared" si="14"/>
        <v/>
      </c>
      <c r="S441" s="2" t="str" cm="1">
        <f t="array" aca="1" ref="S441" ca="1">IF(T441&lt;&gt;"", IFERROR((T441 - MAX(_xlfn._xlws.FILTER(T$2:T440, N$2:N440 = "yes"))) * 24 * 60, ""), "")</f>
        <v/>
      </c>
      <c r="T441" s="2" t="str">
        <f t="shared" ca="1" si="13"/>
        <v/>
      </c>
      <c r="U441" s="2" t="str" cm="1">
        <f t="array" ref="U441">IF(N441&lt;&gt;"yes", "", IFERROR((T441 - INDEX(T$2:T441, MATCH(TRUE, INDEX((T$2:T441&lt;&gt;"")*(N$2:N441="yes"), 0), 0))) * 1440 / COUNTIF(N$2:N441, "yes"), ""))</f>
        <v/>
      </c>
    </row>
    <row r="442" spans="18:21" x14ac:dyDescent="0.25">
      <c r="R442" s="2" t="str">
        <f t="shared" si="14"/>
        <v/>
      </c>
      <c r="S442" s="2" t="str" cm="1">
        <f t="array" aca="1" ref="S442" ca="1">IF(T442&lt;&gt;"", IFERROR((T442 - MAX(_xlfn._xlws.FILTER(T$2:T441, N$2:N441 = "yes"))) * 24 * 60, ""), "")</f>
        <v/>
      </c>
      <c r="T442" s="2" t="str">
        <f t="shared" ca="1" si="13"/>
        <v/>
      </c>
      <c r="U442" s="2" t="str" cm="1">
        <f t="array" ref="U442">IF(N442&lt;&gt;"yes", "", IFERROR((T442 - INDEX(T$2:T442, MATCH(TRUE, INDEX((T$2:T442&lt;&gt;"")*(N$2:N442="yes"), 0), 0))) * 1440 / COUNTIF(N$2:N442, "yes"), ""))</f>
        <v/>
      </c>
    </row>
    <row r="443" spans="18:21" x14ac:dyDescent="0.25">
      <c r="R443" s="2" t="str">
        <f t="shared" si="14"/>
        <v/>
      </c>
      <c r="S443" s="2" t="str" cm="1">
        <f t="array" aca="1" ref="S443" ca="1">IF(T443&lt;&gt;"", IFERROR((T443 - MAX(_xlfn._xlws.FILTER(T$2:T442, N$2:N442 = "yes"))) * 24 * 60, ""), "")</f>
        <v/>
      </c>
      <c r="T443" s="2" t="str">
        <f t="shared" ca="1" si="13"/>
        <v/>
      </c>
      <c r="U443" s="2" t="str" cm="1">
        <f t="array" ref="U443">IF(N443&lt;&gt;"yes", "", IFERROR((T443 - INDEX(T$2:T443, MATCH(TRUE, INDEX((T$2:T443&lt;&gt;"")*(N$2:N443="yes"), 0), 0))) * 1440 / COUNTIF(N$2:N443, "yes"), ""))</f>
        <v/>
      </c>
    </row>
    <row r="444" spans="18:21" x14ac:dyDescent="0.25">
      <c r="R444" s="2" t="str">
        <f t="shared" si="14"/>
        <v/>
      </c>
      <c r="S444" s="2" t="str" cm="1">
        <f t="array" aca="1" ref="S444" ca="1">IF(T444&lt;&gt;"", IFERROR((T444 - MAX(_xlfn._xlws.FILTER(T$2:T443, N$2:N443 = "yes"))) * 24 * 60, ""), "")</f>
        <v/>
      </c>
      <c r="T444" s="2" t="str">
        <f t="shared" ca="1" si="13"/>
        <v/>
      </c>
      <c r="U444" s="2" t="str" cm="1">
        <f t="array" ref="U444">IF(N444&lt;&gt;"yes", "", IFERROR((T444 - INDEX(T$2:T444, MATCH(TRUE, INDEX((T$2:T444&lt;&gt;"")*(N$2:N444="yes"), 0), 0))) * 1440 / COUNTIF(N$2:N444, "yes"), ""))</f>
        <v/>
      </c>
    </row>
    <row r="445" spans="18:21" x14ac:dyDescent="0.25">
      <c r="R445" s="2" t="str">
        <f t="shared" si="14"/>
        <v/>
      </c>
      <c r="S445" s="2" t="str" cm="1">
        <f t="array" aca="1" ref="S445" ca="1">IF(T445&lt;&gt;"", IFERROR((T445 - MAX(_xlfn._xlws.FILTER(T$2:T444, N$2:N444 = "yes"))) * 24 * 60, ""), "")</f>
        <v/>
      </c>
      <c r="T445" s="2" t="str">
        <f t="shared" ca="1" si="13"/>
        <v/>
      </c>
      <c r="U445" s="2" t="str" cm="1">
        <f t="array" ref="U445">IF(N445&lt;&gt;"yes", "", IFERROR((T445 - INDEX(T$2:T445, MATCH(TRUE, INDEX((T$2:T445&lt;&gt;"")*(N$2:N445="yes"), 0), 0))) * 1440 / COUNTIF(N$2:N445, "yes"), ""))</f>
        <v/>
      </c>
    </row>
    <row r="446" spans="18:21" x14ac:dyDescent="0.25">
      <c r="R446" s="2" t="str">
        <f t="shared" si="14"/>
        <v/>
      </c>
      <c r="S446" s="2" t="str" cm="1">
        <f t="array" aca="1" ref="S446" ca="1">IF(T446&lt;&gt;"", IFERROR((T446 - MAX(_xlfn._xlws.FILTER(T$2:T445, N$2:N445 = "yes"))) * 24 * 60, ""), "")</f>
        <v/>
      </c>
      <c r="T446" s="2" t="str">
        <f t="shared" ca="1" si="13"/>
        <v/>
      </c>
      <c r="U446" s="2" t="str" cm="1">
        <f t="array" ref="U446">IF(N446&lt;&gt;"yes", "", IFERROR((T446 - INDEX(T$2:T446, MATCH(TRUE, INDEX((T$2:T446&lt;&gt;"")*(N$2:N446="yes"), 0), 0))) * 1440 / COUNTIF(N$2:N446, "yes"), ""))</f>
        <v/>
      </c>
    </row>
    <row r="447" spans="18:21" x14ac:dyDescent="0.25">
      <c r="R447" s="2" t="str">
        <f t="shared" si="14"/>
        <v/>
      </c>
      <c r="S447" s="2" t="str" cm="1">
        <f t="array" aca="1" ref="S447" ca="1">IF(T447&lt;&gt;"", IFERROR((T447 - MAX(_xlfn._xlws.FILTER(T$2:T446, N$2:N446 = "yes"))) * 24 * 60, ""), "")</f>
        <v/>
      </c>
      <c r="T447" s="2" t="str">
        <f t="shared" ca="1" si="13"/>
        <v/>
      </c>
      <c r="U447" s="2" t="str" cm="1">
        <f t="array" ref="U447">IF(N447&lt;&gt;"yes", "", IFERROR((T447 - INDEX(T$2:T447, MATCH(TRUE, INDEX((T$2:T447&lt;&gt;"")*(N$2:N447="yes"), 0), 0))) * 1440 / COUNTIF(N$2:N447, "yes"), ""))</f>
        <v/>
      </c>
    </row>
    <row r="448" spans="18:21" x14ac:dyDescent="0.25">
      <c r="R448" s="2" t="str">
        <f t="shared" si="14"/>
        <v/>
      </c>
      <c r="S448" s="2" t="str" cm="1">
        <f t="array" aca="1" ref="S448" ca="1">IF(T448&lt;&gt;"", IFERROR((T448 - MAX(_xlfn._xlws.FILTER(T$2:T447, N$2:N447 = "yes"))) * 24 * 60, ""), "")</f>
        <v/>
      </c>
      <c r="T448" s="2" t="str">
        <f t="shared" ca="1" si="13"/>
        <v/>
      </c>
      <c r="U448" s="2" t="str" cm="1">
        <f t="array" ref="U448">IF(N448&lt;&gt;"yes", "", IFERROR((T448 - INDEX(T$2:T448, MATCH(TRUE, INDEX((T$2:T448&lt;&gt;"")*(N$2:N448="yes"), 0), 0))) * 1440 / COUNTIF(N$2:N448, "yes"), ""))</f>
        <v/>
      </c>
    </row>
    <row r="449" spans="18:21" x14ac:dyDescent="0.25">
      <c r="R449" s="2" t="str">
        <f t="shared" si="14"/>
        <v/>
      </c>
      <c r="S449" s="2" t="str" cm="1">
        <f t="array" aca="1" ref="S449" ca="1">IF(T449&lt;&gt;"", IFERROR((T449 - MAX(_xlfn._xlws.FILTER(T$2:T448, N$2:N448 = "yes"))) * 24 * 60, ""), "")</f>
        <v/>
      </c>
      <c r="T449" s="2" t="str">
        <f t="shared" ca="1" si="13"/>
        <v/>
      </c>
      <c r="U449" s="2" t="str" cm="1">
        <f t="array" ref="U449">IF(N449&lt;&gt;"yes", "", IFERROR((T449 - INDEX(T$2:T449, MATCH(TRUE, INDEX((T$2:T449&lt;&gt;"")*(N$2:N449="yes"), 0), 0))) * 1440 / COUNTIF(N$2:N449, "yes"), ""))</f>
        <v/>
      </c>
    </row>
    <row r="450" spans="18:21" x14ac:dyDescent="0.25">
      <c r="R450" s="2" t="str">
        <f t="shared" si="14"/>
        <v/>
      </c>
      <c r="S450" s="2" t="str" cm="1">
        <f t="array" aca="1" ref="S450" ca="1">IF(T450&lt;&gt;"", IFERROR((T450 - MAX(_xlfn._xlws.FILTER(T$2:T449, N$2:N449 = "yes"))) * 24 * 60, ""), "")</f>
        <v/>
      </c>
      <c r="T450" s="2" t="str">
        <f t="shared" ref="T450:T513" ca="1" si="15">IF(N450="yes", NOW(), "")</f>
        <v/>
      </c>
      <c r="U450" s="2" t="str" cm="1">
        <f t="array" ref="U450">IF(N450&lt;&gt;"yes", "", IFERROR((T450 - INDEX(T$2:T450, MATCH(TRUE, INDEX((T$2:T450&lt;&gt;"")*(N$2:N450="yes"), 0), 0))) * 1440 / COUNTIF(N$2:N450, "yes"), ""))</f>
        <v/>
      </c>
    </row>
    <row r="451" spans="18:21" x14ac:dyDescent="0.25">
      <c r="R451" s="2" t="str">
        <f t="shared" ref="R451:R514" si="16">IF(AND(ISNUMBER(P451), ISNUMBER(Q451)), (Q451 - P451) * 1440, "")</f>
        <v/>
      </c>
      <c r="S451" s="2" t="str" cm="1">
        <f t="array" aca="1" ref="S451" ca="1">IF(T451&lt;&gt;"", IFERROR((T451 - MAX(_xlfn._xlws.FILTER(T$2:T450, N$2:N450 = "yes"))) * 24 * 60, ""), "")</f>
        <v/>
      </c>
      <c r="T451" s="2" t="str">
        <f t="shared" ca="1" si="15"/>
        <v/>
      </c>
      <c r="U451" s="2" t="str" cm="1">
        <f t="array" ref="U451">IF(N451&lt;&gt;"yes", "", IFERROR((T451 - INDEX(T$2:T451, MATCH(TRUE, INDEX((T$2:T451&lt;&gt;"")*(N$2:N451="yes"), 0), 0))) * 1440 / COUNTIF(N$2:N451, "yes"), ""))</f>
        <v/>
      </c>
    </row>
    <row r="452" spans="18:21" x14ac:dyDescent="0.25">
      <c r="R452" s="2" t="str">
        <f t="shared" si="16"/>
        <v/>
      </c>
      <c r="S452" s="2" t="str" cm="1">
        <f t="array" aca="1" ref="S452" ca="1">IF(T452&lt;&gt;"", IFERROR((T452 - MAX(_xlfn._xlws.FILTER(T$2:T451, N$2:N451 = "yes"))) * 24 * 60, ""), "")</f>
        <v/>
      </c>
      <c r="T452" s="2" t="str">
        <f t="shared" ca="1" si="15"/>
        <v/>
      </c>
      <c r="U452" s="2" t="str" cm="1">
        <f t="array" ref="U452">IF(N452&lt;&gt;"yes", "", IFERROR((T452 - INDEX(T$2:T452, MATCH(TRUE, INDEX((T$2:T452&lt;&gt;"")*(N$2:N452="yes"), 0), 0))) * 1440 / COUNTIF(N$2:N452, "yes"), ""))</f>
        <v/>
      </c>
    </row>
    <row r="453" spans="18:21" x14ac:dyDescent="0.25">
      <c r="R453" s="2" t="str">
        <f t="shared" si="16"/>
        <v/>
      </c>
      <c r="S453" s="2" t="str" cm="1">
        <f t="array" aca="1" ref="S453" ca="1">IF(T453&lt;&gt;"", IFERROR((T453 - MAX(_xlfn._xlws.FILTER(T$2:T452, N$2:N452 = "yes"))) * 24 * 60, ""), "")</f>
        <v/>
      </c>
      <c r="T453" s="2" t="str">
        <f t="shared" ca="1" si="15"/>
        <v/>
      </c>
      <c r="U453" s="2" t="str" cm="1">
        <f t="array" ref="U453">IF(N453&lt;&gt;"yes", "", IFERROR((T453 - INDEX(T$2:T453, MATCH(TRUE, INDEX((T$2:T453&lt;&gt;"")*(N$2:N453="yes"), 0), 0))) * 1440 / COUNTIF(N$2:N453, "yes"), ""))</f>
        <v/>
      </c>
    </row>
    <row r="454" spans="18:21" x14ac:dyDescent="0.25">
      <c r="R454" s="2" t="str">
        <f t="shared" si="16"/>
        <v/>
      </c>
      <c r="S454" s="2" t="str" cm="1">
        <f t="array" aca="1" ref="S454" ca="1">IF(T454&lt;&gt;"", IFERROR((T454 - MAX(_xlfn._xlws.FILTER(T$2:T453, N$2:N453 = "yes"))) * 24 * 60, ""), "")</f>
        <v/>
      </c>
      <c r="T454" s="2" t="str">
        <f t="shared" ca="1" si="15"/>
        <v/>
      </c>
      <c r="U454" s="2" t="str" cm="1">
        <f t="array" ref="U454">IF(N454&lt;&gt;"yes", "", IFERROR((T454 - INDEX(T$2:T454, MATCH(TRUE, INDEX((T$2:T454&lt;&gt;"")*(N$2:N454="yes"), 0), 0))) * 1440 / COUNTIF(N$2:N454, "yes"), ""))</f>
        <v/>
      </c>
    </row>
    <row r="455" spans="18:21" x14ac:dyDescent="0.25">
      <c r="R455" s="2" t="str">
        <f t="shared" si="16"/>
        <v/>
      </c>
      <c r="S455" s="2" t="str" cm="1">
        <f t="array" aca="1" ref="S455" ca="1">IF(T455&lt;&gt;"", IFERROR((T455 - MAX(_xlfn._xlws.FILTER(T$2:T454, N$2:N454 = "yes"))) * 24 * 60, ""), "")</f>
        <v/>
      </c>
      <c r="T455" s="2" t="str">
        <f t="shared" ca="1" si="15"/>
        <v/>
      </c>
      <c r="U455" s="2" t="str" cm="1">
        <f t="array" ref="U455">IF(N455&lt;&gt;"yes", "", IFERROR((T455 - INDEX(T$2:T455, MATCH(TRUE, INDEX((T$2:T455&lt;&gt;"")*(N$2:N455="yes"), 0), 0))) * 1440 / COUNTIF(N$2:N455, "yes"), ""))</f>
        <v/>
      </c>
    </row>
    <row r="456" spans="18:21" x14ac:dyDescent="0.25">
      <c r="R456" s="2" t="str">
        <f t="shared" si="16"/>
        <v/>
      </c>
      <c r="S456" s="2" t="str" cm="1">
        <f t="array" aca="1" ref="S456" ca="1">IF(T456&lt;&gt;"", IFERROR((T456 - MAX(_xlfn._xlws.FILTER(T$2:T455, N$2:N455 = "yes"))) * 24 * 60, ""), "")</f>
        <v/>
      </c>
      <c r="T456" s="2" t="str">
        <f t="shared" ca="1" si="15"/>
        <v/>
      </c>
      <c r="U456" s="2" t="str" cm="1">
        <f t="array" ref="U456">IF(N456&lt;&gt;"yes", "", IFERROR((T456 - INDEX(T$2:T456, MATCH(TRUE, INDEX((T$2:T456&lt;&gt;"")*(N$2:N456="yes"), 0), 0))) * 1440 / COUNTIF(N$2:N456, "yes"), ""))</f>
        <v/>
      </c>
    </row>
    <row r="457" spans="18:21" x14ac:dyDescent="0.25">
      <c r="R457" s="2" t="str">
        <f t="shared" si="16"/>
        <v/>
      </c>
      <c r="S457" s="2" t="str" cm="1">
        <f t="array" aca="1" ref="S457" ca="1">IF(T457&lt;&gt;"", IFERROR((T457 - MAX(_xlfn._xlws.FILTER(T$2:T456, N$2:N456 = "yes"))) * 24 * 60, ""), "")</f>
        <v/>
      </c>
      <c r="T457" s="2" t="str">
        <f t="shared" ca="1" si="15"/>
        <v/>
      </c>
      <c r="U457" s="2" t="str" cm="1">
        <f t="array" ref="U457">IF(N457&lt;&gt;"yes", "", IFERROR((T457 - INDEX(T$2:T457, MATCH(TRUE, INDEX((T$2:T457&lt;&gt;"")*(N$2:N457="yes"), 0), 0))) * 1440 / COUNTIF(N$2:N457, "yes"), ""))</f>
        <v/>
      </c>
    </row>
    <row r="458" spans="18:21" x14ac:dyDescent="0.25">
      <c r="R458" s="2" t="str">
        <f t="shared" si="16"/>
        <v/>
      </c>
      <c r="S458" s="2" t="str" cm="1">
        <f t="array" aca="1" ref="S458" ca="1">IF(T458&lt;&gt;"", IFERROR((T458 - MAX(_xlfn._xlws.FILTER(T$2:T457, N$2:N457 = "yes"))) * 24 * 60, ""), "")</f>
        <v/>
      </c>
      <c r="T458" s="2" t="str">
        <f t="shared" ca="1" si="15"/>
        <v/>
      </c>
      <c r="U458" s="2" t="str" cm="1">
        <f t="array" ref="U458">IF(N458&lt;&gt;"yes", "", IFERROR((T458 - INDEX(T$2:T458, MATCH(TRUE, INDEX((T$2:T458&lt;&gt;"")*(N$2:N458="yes"), 0), 0))) * 1440 / COUNTIF(N$2:N458, "yes"), ""))</f>
        <v/>
      </c>
    </row>
    <row r="459" spans="18:21" x14ac:dyDescent="0.25">
      <c r="R459" s="2" t="str">
        <f t="shared" si="16"/>
        <v/>
      </c>
      <c r="S459" s="2" t="str" cm="1">
        <f t="array" aca="1" ref="S459" ca="1">IF(T459&lt;&gt;"", IFERROR((T459 - MAX(_xlfn._xlws.FILTER(T$2:T458, N$2:N458 = "yes"))) * 24 * 60, ""), "")</f>
        <v/>
      </c>
      <c r="T459" s="2" t="str">
        <f t="shared" ca="1" si="15"/>
        <v/>
      </c>
      <c r="U459" s="2" t="str" cm="1">
        <f t="array" ref="U459">IF(N459&lt;&gt;"yes", "", IFERROR((T459 - INDEX(T$2:T459, MATCH(TRUE, INDEX((T$2:T459&lt;&gt;"")*(N$2:N459="yes"), 0), 0))) * 1440 / COUNTIF(N$2:N459, "yes"), ""))</f>
        <v/>
      </c>
    </row>
    <row r="460" spans="18:21" x14ac:dyDescent="0.25">
      <c r="R460" s="2" t="str">
        <f t="shared" si="16"/>
        <v/>
      </c>
      <c r="S460" s="2" t="str" cm="1">
        <f t="array" aca="1" ref="S460" ca="1">IF(T460&lt;&gt;"", IFERROR((T460 - MAX(_xlfn._xlws.FILTER(T$2:T459, N$2:N459 = "yes"))) * 24 * 60, ""), "")</f>
        <v/>
      </c>
      <c r="T460" s="2" t="str">
        <f t="shared" ca="1" si="15"/>
        <v/>
      </c>
      <c r="U460" s="2" t="str" cm="1">
        <f t="array" ref="U460">IF(N460&lt;&gt;"yes", "", IFERROR((T460 - INDEX(T$2:T460, MATCH(TRUE, INDEX((T$2:T460&lt;&gt;"")*(N$2:N460="yes"), 0), 0))) * 1440 / COUNTIF(N$2:N460, "yes"), ""))</f>
        <v/>
      </c>
    </row>
    <row r="461" spans="18:21" x14ac:dyDescent="0.25">
      <c r="R461" s="2" t="str">
        <f t="shared" si="16"/>
        <v/>
      </c>
      <c r="S461" s="2" t="str" cm="1">
        <f t="array" aca="1" ref="S461" ca="1">IF(T461&lt;&gt;"", IFERROR((T461 - MAX(_xlfn._xlws.FILTER(T$2:T460, N$2:N460 = "yes"))) * 24 * 60, ""), "")</f>
        <v/>
      </c>
      <c r="T461" s="2" t="str">
        <f t="shared" ca="1" si="15"/>
        <v/>
      </c>
      <c r="U461" s="2" t="str" cm="1">
        <f t="array" ref="U461">IF(N461&lt;&gt;"yes", "", IFERROR((T461 - INDEX(T$2:T461, MATCH(TRUE, INDEX((T$2:T461&lt;&gt;"")*(N$2:N461="yes"), 0), 0))) * 1440 / COUNTIF(N$2:N461, "yes"), ""))</f>
        <v/>
      </c>
    </row>
    <row r="462" spans="18:21" x14ac:dyDescent="0.25">
      <c r="R462" s="2" t="str">
        <f t="shared" si="16"/>
        <v/>
      </c>
      <c r="S462" s="2" t="str" cm="1">
        <f t="array" aca="1" ref="S462" ca="1">IF(T462&lt;&gt;"", IFERROR((T462 - MAX(_xlfn._xlws.FILTER(T$2:T461, N$2:N461 = "yes"))) * 24 * 60, ""), "")</f>
        <v/>
      </c>
      <c r="T462" s="2" t="str">
        <f t="shared" ca="1" si="15"/>
        <v/>
      </c>
      <c r="U462" s="2" t="str" cm="1">
        <f t="array" ref="U462">IF(N462&lt;&gt;"yes", "", IFERROR((T462 - INDEX(T$2:T462, MATCH(TRUE, INDEX((T$2:T462&lt;&gt;"")*(N$2:N462="yes"), 0), 0))) * 1440 / COUNTIF(N$2:N462, "yes"), ""))</f>
        <v/>
      </c>
    </row>
    <row r="463" spans="18:21" x14ac:dyDescent="0.25">
      <c r="R463" s="2" t="str">
        <f t="shared" si="16"/>
        <v/>
      </c>
      <c r="S463" s="2" t="str" cm="1">
        <f t="array" aca="1" ref="S463" ca="1">IF(T463&lt;&gt;"", IFERROR((T463 - MAX(_xlfn._xlws.FILTER(T$2:T462, N$2:N462 = "yes"))) * 24 * 60, ""), "")</f>
        <v/>
      </c>
      <c r="T463" s="2" t="str">
        <f t="shared" ca="1" si="15"/>
        <v/>
      </c>
      <c r="U463" s="2" t="str" cm="1">
        <f t="array" ref="U463">IF(N463&lt;&gt;"yes", "", IFERROR((T463 - INDEX(T$2:T463, MATCH(TRUE, INDEX((T$2:T463&lt;&gt;"")*(N$2:N463="yes"), 0), 0))) * 1440 / COUNTIF(N$2:N463, "yes"), ""))</f>
        <v/>
      </c>
    </row>
    <row r="464" spans="18:21" x14ac:dyDescent="0.25">
      <c r="R464" s="2" t="str">
        <f t="shared" si="16"/>
        <v/>
      </c>
      <c r="S464" s="2" t="str" cm="1">
        <f t="array" aca="1" ref="S464" ca="1">IF(T464&lt;&gt;"", IFERROR((T464 - MAX(_xlfn._xlws.FILTER(T$2:T463, N$2:N463 = "yes"))) * 24 * 60, ""), "")</f>
        <v/>
      </c>
      <c r="T464" s="2" t="str">
        <f t="shared" ca="1" si="15"/>
        <v/>
      </c>
      <c r="U464" s="2" t="str" cm="1">
        <f t="array" ref="U464">IF(N464&lt;&gt;"yes", "", IFERROR((T464 - INDEX(T$2:T464, MATCH(TRUE, INDEX((T$2:T464&lt;&gt;"")*(N$2:N464="yes"), 0), 0))) * 1440 / COUNTIF(N$2:N464, "yes"), ""))</f>
        <v/>
      </c>
    </row>
    <row r="465" spans="18:21" x14ac:dyDescent="0.25">
      <c r="R465" s="2" t="str">
        <f t="shared" si="16"/>
        <v/>
      </c>
      <c r="S465" s="2" t="str" cm="1">
        <f t="array" aca="1" ref="S465" ca="1">IF(T465&lt;&gt;"", IFERROR((T465 - MAX(_xlfn._xlws.FILTER(T$2:T464, N$2:N464 = "yes"))) * 24 * 60, ""), "")</f>
        <v/>
      </c>
      <c r="T465" s="2" t="str">
        <f t="shared" ca="1" si="15"/>
        <v/>
      </c>
      <c r="U465" s="2" t="str" cm="1">
        <f t="array" ref="U465">IF(N465&lt;&gt;"yes", "", IFERROR((T465 - INDEX(T$2:T465, MATCH(TRUE, INDEX((T$2:T465&lt;&gt;"")*(N$2:N465="yes"), 0), 0))) * 1440 / COUNTIF(N$2:N465, "yes"), ""))</f>
        <v/>
      </c>
    </row>
    <row r="466" spans="18:21" x14ac:dyDescent="0.25">
      <c r="R466" s="2" t="str">
        <f t="shared" si="16"/>
        <v/>
      </c>
      <c r="S466" s="2" t="str" cm="1">
        <f t="array" aca="1" ref="S466" ca="1">IF(T466&lt;&gt;"", IFERROR((T466 - MAX(_xlfn._xlws.FILTER(T$2:T465, N$2:N465 = "yes"))) * 24 * 60, ""), "")</f>
        <v/>
      </c>
      <c r="T466" s="2" t="str">
        <f t="shared" ca="1" si="15"/>
        <v/>
      </c>
      <c r="U466" s="2" t="str" cm="1">
        <f t="array" ref="U466">IF(N466&lt;&gt;"yes", "", IFERROR((T466 - INDEX(T$2:T466, MATCH(TRUE, INDEX((T$2:T466&lt;&gt;"")*(N$2:N466="yes"), 0), 0))) * 1440 / COUNTIF(N$2:N466, "yes"), ""))</f>
        <v/>
      </c>
    </row>
    <row r="467" spans="18:21" x14ac:dyDescent="0.25">
      <c r="R467" s="2" t="str">
        <f t="shared" si="16"/>
        <v/>
      </c>
      <c r="S467" s="2" t="str" cm="1">
        <f t="array" aca="1" ref="S467" ca="1">IF(T467&lt;&gt;"", IFERROR((T467 - MAX(_xlfn._xlws.FILTER(T$2:T466, N$2:N466 = "yes"))) * 24 * 60, ""), "")</f>
        <v/>
      </c>
      <c r="T467" s="2" t="str">
        <f t="shared" ca="1" si="15"/>
        <v/>
      </c>
      <c r="U467" s="2" t="str" cm="1">
        <f t="array" ref="U467">IF(N467&lt;&gt;"yes", "", IFERROR((T467 - INDEX(T$2:T467, MATCH(TRUE, INDEX((T$2:T467&lt;&gt;"")*(N$2:N467="yes"), 0), 0))) * 1440 / COUNTIF(N$2:N467, "yes"), ""))</f>
        <v/>
      </c>
    </row>
    <row r="468" spans="18:21" x14ac:dyDescent="0.25">
      <c r="R468" s="2" t="str">
        <f t="shared" si="16"/>
        <v/>
      </c>
      <c r="S468" s="2" t="str" cm="1">
        <f t="array" aca="1" ref="S468" ca="1">IF(T468&lt;&gt;"", IFERROR((T468 - MAX(_xlfn._xlws.FILTER(T$2:T467, N$2:N467 = "yes"))) * 24 * 60, ""), "")</f>
        <v/>
      </c>
      <c r="T468" s="2" t="str">
        <f t="shared" ca="1" si="15"/>
        <v/>
      </c>
      <c r="U468" s="2" t="str" cm="1">
        <f t="array" ref="U468">IF(N468&lt;&gt;"yes", "", IFERROR((T468 - INDEX(T$2:T468, MATCH(TRUE, INDEX((T$2:T468&lt;&gt;"")*(N$2:N468="yes"), 0), 0))) * 1440 / COUNTIF(N$2:N468, "yes"), ""))</f>
        <v/>
      </c>
    </row>
    <row r="469" spans="18:21" x14ac:dyDescent="0.25">
      <c r="R469" s="2" t="str">
        <f t="shared" si="16"/>
        <v/>
      </c>
      <c r="S469" s="2" t="str" cm="1">
        <f t="array" aca="1" ref="S469" ca="1">IF(T469&lt;&gt;"", IFERROR((T469 - MAX(_xlfn._xlws.FILTER(T$2:T468, N$2:N468 = "yes"))) * 24 * 60, ""), "")</f>
        <v/>
      </c>
      <c r="T469" s="2" t="str">
        <f t="shared" ca="1" si="15"/>
        <v/>
      </c>
      <c r="U469" s="2" t="str" cm="1">
        <f t="array" ref="U469">IF(N469&lt;&gt;"yes", "", IFERROR((T469 - INDEX(T$2:T469, MATCH(TRUE, INDEX((T$2:T469&lt;&gt;"")*(N$2:N469="yes"), 0), 0))) * 1440 / COUNTIF(N$2:N469, "yes"), ""))</f>
        <v/>
      </c>
    </row>
    <row r="470" spans="18:21" x14ac:dyDescent="0.25">
      <c r="R470" s="2" t="str">
        <f t="shared" si="16"/>
        <v/>
      </c>
      <c r="S470" s="2" t="str" cm="1">
        <f t="array" aca="1" ref="S470" ca="1">IF(T470&lt;&gt;"", IFERROR((T470 - MAX(_xlfn._xlws.FILTER(T$2:T469, N$2:N469 = "yes"))) * 24 * 60, ""), "")</f>
        <v/>
      </c>
      <c r="T470" s="2" t="str">
        <f t="shared" ca="1" si="15"/>
        <v/>
      </c>
      <c r="U470" s="2" t="str" cm="1">
        <f t="array" ref="U470">IF(N470&lt;&gt;"yes", "", IFERROR((T470 - INDEX(T$2:T470, MATCH(TRUE, INDEX((T$2:T470&lt;&gt;"")*(N$2:N470="yes"), 0), 0))) * 1440 / COUNTIF(N$2:N470, "yes"), ""))</f>
        <v/>
      </c>
    </row>
    <row r="471" spans="18:21" x14ac:dyDescent="0.25">
      <c r="R471" s="2" t="str">
        <f t="shared" si="16"/>
        <v/>
      </c>
      <c r="S471" s="2" t="str" cm="1">
        <f t="array" aca="1" ref="S471" ca="1">IF(T471&lt;&gt;"", IFERROR((T471 - MAX(_xlfn._xlws.FILTER(T$2:T470, N$2:N470 = "yes"))) * 24 * 60, ""), "")</f>
        <v/>
      </c>
      <c r="T471" s="2" t="str">
        <f t="shared" ca="1" si="15"/>
        <v/>
      </c>
      <c r="U471" s="2" t="str" cm="1">
        <f t="array" ref="U471">IF(N471&lt;&gt;"yes", "", IFERROR((T471 - INDEX(T$2:T471, MATCH(TRUE, INDEX((T$2:T471&lt;&gt;"")*(N$2:N471="yes"), 0), 0))) * 1440 / COUNTIF(N$2:N471, "yes"), ""))</f>
        <v/>
      </c>
    </row>
    <row r="472" spans="18:21" x14ac:dyDescent="0.25">
      <c r="R472" s="2" t="str">
        <f t="shared" si="16"/>
        <v/>
      </c>
      <c r="S472" s="2" t="str" cm="1">
        <f t="array" aca="1" ref="S472" ca="1">IF(T472&lt;&gt;"", IFERROR((T472 - MAX(_xlfn._xlws.FILTER(T$2:T471, N$2:N471 = "yes"))) * 24 * 60, ""), "")</f>
        <v/>
      </c>
      <c r="T472" s="2" t="str">
        <f t="shared" ca="1" si="15"/>
        <v/>
      </c>
      <c r="U472" s="2" t="str" cm="1">
        <f t="array" ref="U472">IF(N472&lt;&gt;"yes", "", IFERROR((T472 - INDEX(T$2:T472, MATCH(TRUE, INDEX((T$2:T472&lt;&gt;"")*(N$2:N472="yes"), 0), 0))) * 1440 / COUNTIF(N$2:N472, "yes"), ""))</f>
        <v/>
      </c>
    </row>
    <row r="473" spans="18:21" x14ac:dyDescent="0.25">
      <c r="R473" s="2" t="str">
        <f t="shared" si="16"/>
        <v/>
      </c>
      <c r="S473" s="2" t="str" cm="1">
        <f t="array" aca="1" ref="S473" ca="1">IF(T473&lt;&gt;"", IFERROR((T473 - MAX(_xlfn._xlws.FILTER(T$2:T472, N$2:N472 = "yes"))) * 24 * 60, ""), "")</f>
        <v/>
      </c>
      <c r="T473" s="2" t="str">
        <f t="shared" ca="1" si="15"/>
        <v/>
      </c>
      <c r="U473" s="2" t="str" cm="1">
        <f t="array" ref="U473">IF(N473&lt;&gt;"yes", "", IFERROR((T473 - INDEX(T$2:T473, MATCH(TRUE, INDEX((T$2:T473&lt;&gt;"")*(N$2:N473="yes"), 0), 0))) * 1440 / COUNTIF(N$2:N473, "yes"), ""))</f>
        <v/>
      </c>
    </row>
    <row r="474" spans="18:21" x14ac:dyDescent="0.25">
      <c r="R474" s="2" t="str">
        <f t="shared" si="16"/>
        <v/>
      </c>
      <c r="S474" s="2" t="str" cm="1">
        <f t="array" aca="1" ref="S474" ca="1">IF(T474&lt;&gt;"", IFERROR((T474 - MAX(_xlfn._xlws.FILTER(T$2:T473, N$2:N473 = "yes"))) * 24 * 60, ""), "")</f>
        <v/>
      </c>
      <c r="T474" s="2" t="str">
        <f t="shared" ca="1" si="15"/>
        <v/>
      </c>
      <c r="U474" s="2" t="str" cm="1">
        <f t="array" ref="U474">IF(N474&lt;&gt;"yes", "", IFERROR((T474 - INDEX(T$2:T474, MATCH(TRUE, INDEX((T$2:T474&lt;&gt;"")*(N$2:N474="yes"), 0), 0))) * 1440 / COUNTIF(N$2:N474, "yes"), ""))</f>
        <v/>
      </c>
    </row>
    <row r="475" spans="18:21" x14ac:dyDescent="0.25">
      <c r="R475" s="2" t="str">
        <f t="shared" si="16"/>
        <v/>
      </c>
      <c r="S475" s="2" t="str" cm="1">
        <f t="array" aca="1" ref="S475" ca="1">IF(T475&lt;&gt;"", IFERROR((T475 - MAX(_xlfn._xlws.FILTER(T$2:T474, N$2:N474 = "yes"))) * 24 * 60, ""), "")</f>
        <v/>
      </c>
      <c r="T475" s="2" t="str">
        <f t="shared" ca="1" si="15"/>
        <v/>
      </c>
      <c r="U475" s="2" t="str" cm="1">
        <f t="array" ref="U475">IF(N475&lt;&gt;"yes", "", IFERROR((T475 - INDEX(T$2:T475, MATCH(TRUE, INDEX((T$2:T475&lt;&gt;"")*(N$2:N475="yes"), 0), 0))) * 1440 / COUNTIF(N$2:N475, "yes"), ""))</f>
        <v/>
      </c>
    </row>
    <row r="476" spans="18:21" x14ac:dyDescent="0.25">
      <c r="R476" s="2" t="str">
        <f t="shared" si="16"/>
        <v/>
      </c>
      <c r="S476" s="2" t="str" cm="1">
        <f t="array" aca="1" ref="S476" ca="1">IF(T476&lt;&gt;"", IFERROR((T476 - MAX(_xlfn._xlws.FILTER(T$2:T475, N$2:N475 = "yes"))) * 24 * 60, ""), "")</f>
        <v/>
      </c>
      <c r="T476" s="2" t="str">
        <f t="shared" ca="1" si="15"/>
        <v/>
      </c>
      <c r="U476" s="2" t="str" cm="1">
        <f t="array" ref="U476">IF(N476&lt;&gt;"yes", "", IFERROR((T476 - INDEX(T$2:T476, MATCH(TRUE, INDEX((T$2:T476&lt;&gt;"")*(N$2:N476="yes"), 0), 0))) * 1440 / COUNTIF(N$2:N476, "yes"), ""))</f>
        <v/>
      </c>
    </row>
    <row r="477" spans="18:21" x14ac:dyDescent="0.25">
      <c r="R477" s="2" t="str">
        <f t="shared" si="16"/>
        <v/>
      </c>
      <c r="S477" s="2" t="str" cm="1">
        <f t="array" aca="1" ref="S477" ca="1">IF(T477&lt;&gt;"", IFERROR((T477 - MAX(_xlfn._xlws.FILTER(T$2:T476, N$2:N476 = "yes"))) * 24 * 60, ""), "")</f>
        <v/>
      </c>
      <c r="T477" s="2" t="str">
        <f t="shared" ca="1" si="15"/>
        <v/>
      </c>
      <c r="U477" s="2" t="str" cm="1">
        <f t="array" ref="U477">IF(N477&lt;&gt;"yes", "", IFERROR((T477 - INDEX(T$2:T477, MATCH(TRUE, INDEX((T$2:T477&lt;&gt;"")*(N$2:N477="yes"), 0), 0))) * 1440 / COUNTIF(N$2:N477, "yes"), ""))</f>
        <v/>
      </c>
    </row>
    <row r="478" spans="18:21" x14ac:dyDescent="0.25">
      <c r="R478" s="2" t="str">
        <f t="shared" si="16"/>
        <v/>
      </c>
      <c r="S478" s="2" t="str" cm="1">
        <f t="array" aca="1" ref="S478" ca="1">IF(T478&lt;&gt;"", IFERROR((T478 - MAX(_xlfn._xlws.FILTER(T$2:T477, N$2:N477 = "yes"))) * 24 * 60, ""), "")</f>
        <v/>
      </c>
      <c r="T478" s="2" t="str">
        <f t="shared" ca="1" si="15"/>
        <v/>
      </c>
      <c r="U478" s="2" t="str" cm="1">
        <f t="array" ref="U478">IF(N478&lt;&gt;"yes", "", IFERROR((T478 - INDEX(T$2:T478, MATCH(TRUE, INDEX((T$2:T478&lt;&gt;"")*(N$2:N478="yes"), 0), 0))) * 1440 / COUNTIF(N$2:N478, "yes"), ""))</f>
        <v/>
      </c>
    </row>
    <row r="479" spans="18:21" x14ac:dyDescent="0.25">
      <c r="R479" s="2" t="str">
        <f t="shared" si="16"/>
        <v/>
      </c>
      <c r="S479" s="2" t="str" cm="1">
        <f t="array" aca="1" ref="S479" ca="1">IF(T479&lt;&gt;"", IFERROR((T479 - MAX(_xlfn._xlws.FILTER(T$2:T478, N$2:N478 = "yes"))) * 24 * 60, ""), "")</f>
        <v/>
      </c>
      <c r="T479" s="2" t="str">
        <f t="shared" ca="1" si="15"/>
        <v/>
      </c>
      <c r="U479" s="2" t="str" cm="1">
        <f t="array" ref="U479">IF(N479&lt;&gt;"yes", "", IFERROR((T479 - INDEX(T$2:T479, MATCH(TRUE, INDEX((T$2:T479&lt;&gt;"")*(N$2:N479="yes"), 0), 0))) * 1440 / COUNTIF(N$2:N479, "yes"), ""))</f>
        <v/>
      </c>
    </row>
    <row r="480" spans="18:21" x14ac:dyDescent="0.25">
      <c r="R480" s="2" t="str">
        <f t="shared" si="16"/>
        <v/>
      </c>
      <c r="S480" s="2" t="str" cm="1">
        <f t="array" aca="1" ref="S480" ca="1">IF(T480&lt;&gt;"", IFERROR((T480 - MAX(_xlfn._xlws.FILTER(T$2:T479, N$2:N479 = "yes"))) * 24 * 60, ""), "")</f>
        <v/>
      </c>
      <c r="T480" s="2" t="str">
        <f t="shared" ca="1" si="15"/>
        <v/>
      </c>
      <c r="U480" s="2" t="str" cm="1">
        <f t="array" ref="U480">IF(N480&lt;&gt;"yes", "", IFERROR((T480 - INDEX(T$2:T480, MATCH(TRUE, INDEX((T$2:T480&lt;&gt;"")*(N$2:N480="yes"), 0), 0))) * 1440 / COUNTIF(N$2:N480, "yes"), ""))</f>
        <v/>
      </c>
    </row>
    <row r="481" spans="18:21" x14ac:dyDescent="0.25">
      <c r="R481" s="2" t="str">
        <f t="shared" si="16"/>
        <v/>
      </c>
      <c r="S481" s="2" t="str" cm="1">
        <f t="array" aca="1" ref="S481" ca="1">IF(T481&lt;&gt;"", IFERROR((T481 - MAX(_xlfn._xlws.FILTER(T$2:T480, N$2:N480 = "yes"))) * 24 * 60, ""), "")</f>
        <v/>
      </c>
      <c r="T481" s="2" t="str">
        <f t="shared" ca="1" si="15"/>
        <v/>
      </c>
      <c r="U481" s="2" t="str" cm="1">
        <f t="array" ref="U481">IF(N481&lt;&gt;"yes", "", IFERROR((T481 - INDEX(T$2:T481, MATCH(TRUE, INDEX((T$2:T481&lt;&gt;"")*(N$2:N481="yes"), 0), 0))) * 1440 / COUNTIF(N$2:N481, "yes"), ""))</f>
        <v/>
      </c>
    </row>
    <row r="482" spans="18:21" x14ac:dyDescent="0.25">
      <c r="R482" s="2" t="str">
        <f t="shared" si="16"/>
        <v/>
      </c>
      <c r="S482" s="2" t="str" cm="1">
        <f t="array" aca="1" ref="S482" ca="1">IF(T482&lt;&gt;"", IFERROR((T482 - MAX(_xlfn._xlws.FILTER(T$2:T481, N$2:N481 = "yes"))) * 24 * 60, ""), "")</f>
        <v/>
      </c>
      <c r="T482" s="2" t="str">
        <f t="shared" ca="1" si="15"/>
        <v/>
      </c>
      <c r="U482" s="2" t="str" cm="1">
        <f t="array" ref="U482">IF(N482&lt;&gt;"yes", "", IFERROR((T482 - INDEX(T$2:T482, MATCH(TRUE, INDEX((T$2:T482&lt;&gt;"")*(N$2:N482="yes"), 0), 0))) * 1440 / COUNTIF(N$2:N482, "yes"), ""))</f>
        <v/>
      </c>
    </row>
    <row r="483" spans="18:21" x14ac:dyDescent="0.25">
      <c r="R483" s="2" t="str">
        <f t="shared" si="16"/>
        <v/>
      </c>
      <c r="S483" s="2" t="str" cm="1">
        <f t="array" aca="1" ref="S483" ca="1">IF(T483&lt;&gt;"", IFERROR((T483 - MAX(_xlfn._xlws.FILTER(T$2:T482, N$2:N482 = "yes"))) * 24 * 60, ""), "")</f>
        <v/>
      </c>
      <c r="T483" s="2" t="str">
        <f t="shared" ca="1" si="15"/>
        <v/>
      </c>
      <c r="U483" s="2" t="str" cm="1">
        <f t="array" ref="U483">IF(N483&lt;&gt;"yes", "", IFERROR((T483 - INDEX(T$2:T483, MATCH(TRUE, INDEX((T$2:T483&lt;&gt;"")*(N$2:N483="yes"), 0), 0))) * 1440 / COUNTIF(N$2:N483, "yes"), ""))</f>
        <v/>
      </c>
    </row>
    <row r="484" spans="18:21" x14ac:dyDescent="0.25">
      <c r="R484" s="2" t="str">
        <f t="shared" si="16"/>
        <v/>
      </c>
      <c r="S484" s="2" t="str" cm="1">
        <f t="array" aca="1" ref="S484" ca="1">IF(T484&lt;&gt;"", IFERROR((T484 - MAX(_xlfn._xlws.FILTER(T$2:T483, N$2:N483 = "yes"))) * 24 * 60, ""), "")</f>
        <v/>
      </c>
      <c r="T484" s="2" t="str">
        <f t="shared" ca="1" si="15"/>
        <v/>
      </c>
      <c r="U484" s="2" t="str" cm="1">
        <f t="array" ref="U484">IF(N484&lt;&gt;"yes", "", IFERROR((T484 - INDEX(T$2:T484, MATCH(TRUE, INDEX((T$2:T484&lt;&gt;"")*(N$2:N484="yes"), 0), 0))) * 1440 / COUNTIF(N$2:N484, "yes"), ""))</f>
        <v/>
      </c>
    </row>
    <row r="485" spans="18:21" x14ac:dyDescent="0.25">
      <c r="R485" s="2" t="str">
        <f t="shared" si="16"/>
        <v/>
      </c>
      <c r="S485" s="2" t="str" cm="1">
        <f t="array" aca="1" ref="S485" ca="1">IF(T485&lt;&gt;"", IFERROR((T485 - MAX(_xlfn._xlws.FILTER(T$2:T484, N$2:N484 = "yes"))) * 24 * 60, ""), "")</f>
        <v/>
      </c>
      <c r="T485" s="2" t="str">
        <f t="shared" ca="1" si="15"/>
        <v/>
      </c>
      <c r="U485" s="2" t="str" cm="1">
        <f t="array" ref="U485">IF(N485&lt;&gt;"yes", "", IFERROR((T485 - INDEX(T$2:T485, MATCH(TRUE, INDEX((T$2:T485&lt;&gt;"")*(N$2:N485="yes"), 0), 0))) * 1440 / COUNTIF(N$2:N485, "yes"), ""))</f>
        <v/>
      </c>
    </row>
    <row r="486" spans="18:21" x14ac:dyDescent="0.25">
      <c r="R486" s="2" t="str">
        <f t="shared" si="16"/>
        <v/>
      </c>
      <c r="S486" s="2" t="str" cm="1">
        <f t="array" aca="1" ref="S486" ca="1">IF(T486&lt;&gt;"", IFERROR((T486 - MAX(_xlfn._xlws.FILTER(T$2:T485, N$2:N485 = "yes"))) * 24 * 60, ""), "")</f>
        <v/>
      </c>
      <c r="T486" s="2" t="str">
        <f t="shared" ca="1" si="15"/>
        <v/>
      </c>
      <c r="U486" s="2" t="str" cm="1">
        <f t="array" ref="U486">IF(N486&lt;&gt;"yes", "", IFERROR((T486 - INDEX(T$2:T486, MATCH(TRUE, INDEX((T$2:T486&lt;&gt;"")*(N$2:N486="yes"), 0), 0))) * 1440 / COUNTIF(N$2:N486, "yes"), ""))</f>
        <v/>
      </c>
    </row>
    <row r="487" spans="18:21" x14ac:dyDescent="0.25">
      <c r="R487" s="2" t="str">
        <f t="shared" si="16"/>
        <v/>
      </c>
      <c r="S487" s="2" t="str" cm="1">
        <f t="array" aca="1" ref="S487" ca="1">IF(T487&lt;&gt;"", IFERROR((T487 - MAX(_xlfn._xlws.FILTER(T$2:T486, N$2:N486 = "yes"))) * 24 * 60, ""), "")</f>
        <v/>
      </c>
      <c r="T487" s="2" t="str">
        <f t="shared" ca="1" si="15"/>
        <v/>
      </c>
      <c r="U487" s="2" t="str" cm="1">
        <f t="array" ref="U487">IF(N487&lt;&gt;"yes", "", IFERROR((T487 - INDEX(T$2:T487, MATCH(TRUE, INDEX((T$2:T487&lt;&gt;"")*(N$2:N487="yes"), 0), 0))) * 1440 / COUNTIF(N$2:N487, "yes"), ""))</f>
        <v/>
      </c>
    </row>
    <row r="488" spans="18:21" x14ac:dyDescent="0.25">
      <c r="R488" s="2" t="str">
        <f t="shared" si="16"/>
        <v/>
      </c>
      <c r="S488" s="2" t="str" cm="1">
        <f t="array" aca="1" ref="S488" ca="1">IF(T488&lt;&gt;"", IFERROR((T488 - MAX(_xlfn._xlws.FILTER(T$2:T487, N$2:N487 = "yes"))) * 24 * 60, ""), "")</f>
        <v/>
      </c>
      <c r="T488" s="2" t="str">
        <f t="shared" ca="1" si="15"/>
        <v/>
      </c>
      <c r="U488" s="2" t="str" cm="1">
        <f t="array" ref="U488">IF(N488&lt;&gt;"yes", "", IFERROR((T488 - INDEX(T$2:T488, MATCH(TRUE, INDEX((T$2:T488&lt;&gt;"")*(N$2:N488="yes"), 0), 0))) * 1440 / COUNTIF(N$2:N488, "yes"), ""))</f>
        <v/>
      </c>
    </row>
    <row r="489" spans="18:21" x14ac:dyDescent="0.25">
      <c r="R489" s="2" t="str">
        <f t="shared" si="16"/>
        <v/>
      </c>
      <c r="S489" s="2" t="str" cm="1">
        <f t="array" aca="1" ref="S489" ca="1">IF(T489&lt;&gt;"", IFERROR((T489 - MAX(_xlfn._xlws.FILTER(T$2:T488, N$2:N488 = "yes"))) * 24 * 60, ""), "")</f>
        <v/>
      </c>
      <c r="T489" s="2" t="str">
        <f t="shared" ca="1" si="15"/>
        <v/>
      </c>
      <c r="U489" s="2" t="str" cm="1">
        <f t="array" ref="U489">IF(N489&lt;&gt;"yes", "", IFERROR((T489 - INDEX(T$2:T489, MATCH(TRUE, INDEX((T$2:T489&lt;&gt;"")*(N$2:N489="yes"), 0), 0))) * 1440 / COUNTIF(N$2:N489, "yes"), ""))</f>
        <v/>
      </c>
    </row>
    <row r="490" spans="18:21" x14ac:dyDescent="0.25">
      <c r="R490" s="2" t="str">
        <f t="shared" si="16"/>
        <v/>
      </c>
      <c r="S490" s="2" t="str" cm="1">
        <f t="array" aca="1" ref="S490" ca="1">IF(T490&lt;&gt;"", IFERROR((T490 - MAX(_xlfn._xlws.FILTER(T$2:T489, N$2:N489 = "yes"))) * 24 * 60, ""), "")</f>
        <v/>
      </c>
      <c r="T490" s="2" t="str">
        <f t="shared" ca="1" si="15"/>
        <v/>
      </c>
      <c r="U490" s="2" t="str" cm="1">
        <f t="array" ref="U490">IF(N490&lt;&gt;"yes", "", IFERROR((T490 - INDEX(T$2:T490, MATCH(TRUE, INDEX((T$2:T490&lt;&gt;"")*(N$2:N490="yes"), 0), 0))) * 1440 / COUNTIF(N$2:N490, "yes"), ""))</f>
        <v/>
      </c>
    </row>
    <row r="491" spans="18:21" x14ac:dyDescent="0.25">
      <c r="R491" s="2" t="str">
        <f t="shared" si="16"/>
        <v/>
      </c>
      <c r="S491" s="2" t="str" cm="1">
        <f t="array" aca="1" ref="S491" ca="1">IF(T491&lt;&gt;"", IFERROR((T491 - MAX(_xlfn._xlws.FILTER(T$2:T490, N$2:N490 = "yes"))) * 24 * 60, ""), "")</f>
        <v/>
      </c>
      <c r="T491" s="2" t="str">
        <f t="shared" ca="1" si="15"/>
        <v/>
      </c>
      <c r="U491" s="2" t="str" cm="1">
        <f t="array" ref="U491">IF(N491&lt;&gt;"yes", "", IFERROR((T491 - INDEX(T$2:T491, MATCH(TRUE, INDEX((T$2:T491&lt;&gt;"")*(N$2:N491="yes"), 0), 0))) * 1440 / COUNTIF(N$2:N491, "yes"), ""))</f>
        <v/>
      </c>
    </row>
    <row r="492" spans="18:21" x14ac:dyDescent="0.25">
      <c r="R492" s="2" t="str">
        <f t="shared" si="16"/>
        <v/>
      </c>
      <c r="S492" s="2" t="str" cm="1">
        <f t="array" aca="1" ref="S492" ca="1">IF(T492&lt;&gt;"", IFERROR((T492 - MAX(_xlfn._xlws.FILTER(T$2:T491, N$2:N491 = "yes"))) * 24 * 60, ""), "")</f>
        <v/>
      </c>
      <c r="T492" s="2" t="str">
        <f t="shared" ca="1" si="15"/>
        <v/>
      </c>
      <c r="U492" s="2" t="str" cm="1">
        <f t="array" ref="U492">IF(N492&lt;&gt;"yes", "", IFERROR((T492 - INDEX(T$2:T492, MATCH(TRUE, INDEX((T$2:T492&lt;&gt;"")*(N$2:N492="yes"), 0), 0))) * 1440 / COUNTIF(N$2:N492, "yes"), ""))</f>
        <v/>
      </c>
    </row>
    <row r="493" spans="18:21" x14ac:dyDescent="0.25">
      <c r="R493" s="2" t="str">
        <f t="shared" si="16"/>
        <v/>
      </c>
      <c r="S493" s="2" t="str" cm="1">
        <f t="array" aca="1" ref="S493" ca="1">IF(T493&lt;&gt;"", IFERROR((T493 - MAX(_xlfn._xlws.FILTER(T$2:T492, N$2:N492 = "yes"))) * 24 * 60, ""), "")</f>
        <v/>
      </c>
      <c r="T493" s="2" t="str">
        <f t="shared" ca="1" si="15"/>
        <v/>
      </c>
      <c r="U493" s="2" t="str" cm="1">
        <f t="array" ref="U493">IF(N493&lt;&gt;"yes", "", IFERROR((T493 - INDEX(T$2:T493, MATCH(TRUE, INDEX((T$2:T493&lt;&gt;"")*(N$2:N493="yes"), 0), 0))) * 1440 / COUNTIF(N$2:N493, "yes"), ""))</f>
        <v/>
      </c>
    </row>
    <row r="494" spans="18:21" x14ac:dyDescent="0.25">
      <c r="R494" s="2" t="str">
        <f t="shared" si="16"/>
        <v/>
      </c>
      <c r="S494" s="2" t="str" cm="1">
        <f t="array" aca="1" ref="S494" ca="1">IF(T494&lt;&gt;"", IFERROR((T494 - MAX(_xlfn._xlws.FILTER(T$2:T493, N$2:N493 = "yes"))) * 24 * 60, ""), "")</f>
        <v/>
      </c>
      <c r="T494" s="2" t="str">
        <f t="shared" ca="1" si="15"/>
        <v/>
      </c>
      <c r="U494" s="2" t="str" cm="1">
        <f t="array" ref="U494">IF(N494&lt;&gt;"yes", "", IFERROR((T494 - INDEX(T$2:T494, MATCH(TRUE, INDEX((T$2:T494&lt;&gt;"")*(N$2:N494="yes"), 0), 0))) * 1440 / COUNTIF(N$2:N494, "yes"), ""))</f>
        <v/>
      </c>
    </row>
    <row r="495" spans="18:21" x14ac:dyDescent="0.25">
      <c r="R495" s="2" t="str">
        <f t="shared" si="16"/>
        <v/>
      </c>
      <c r="S495" s="2" t="str" cm="1">
        <f t="array" aca="1" ref="S495" ca="1">IF(T495&lt;&gt;"", IFERROR((T495 - MAX(_xlfn._xlws.FILTER(T$2:T494, N$2:N494 = "yes"))) * 24 * 60, ""), "")</f>
        <v/>
      </c>
      <c r="T495" s="2" t="str">
        <f t="shared" ca="1" si="15"/>
        <v/>
      </c>
      <c r="U495" s="2" t="str" cm="1">
        <f t="array" ref="U495">IF(N495&lt;&gt;"yes", "", IFERROR((T495 - INDEX(T$2:T495, MATCH(TRUE, INDEX((T$2:T495&lt;&gt;"")*(N$2:N495="yes"), 0), 0))) * 1440 / COUNTIF(N$2:N495, "yes"), ""))</f>
        <v/>
      </c>
    </row>
    <row r="496" spans="18:21" x14ac:dyDescent="0.25">
      <c r="R496" s="2" t="str">
        <f t="shared" si="16"/>
        <v/>
      </c>
      <c r="S496" s="2" t="str" cm="1">
        <f t="array" aca="1" ref="S496" ca="1">IF(T496&lt;&gt;"", IFERROR((T496 - MAX(_xlfn._xlws.FILTER(T$2:T495, N$2:N495 = "yes"))) * 24 * 60, ""), "")</f>
        <v/>
      </c>
      <c r="T496" s="2" t="str">
        <f t="shared" ca="1" si="15"/>
        <v/>
      </c>
      <c r="U496" s="2" t="str" cm="1">
        <f t="array" ref="U496">IF(N496&lt;&gt;"yes", "", IFERROR((T496 - INDEX(T$2:T496, MATCH(TRUE, INDEX((T$2:T496&lt;&gt;"")*(N$2:N496="yes"), 0), 0))) * 1440 / COUNTIF(N$2:N496, "yes"), ""))</f>
        <v/>
      </c>
    </row>
    <row r="497" spans="18:21" x14ac:dyDescent="0.25">
      <c r="R497" s="2" t="str">
        <f t="shared" si="16"/>
        <v/>
      </c>
      <c r="S497" s="2" t="str" cm="1">
        <f t="array" aca="1" ref="S497" ca="1">IF(T497&lt;&gt;"", IFERROR((T497 - MAX(_xlfn._xlws.FILTER(T$2:T496, N$2:N496 = "yes"))) * 24 * 60, ""), "")</f>
        <v/>
      </c>
      <c r="T497" s="2" t="str">
        <f t="shared" ca="1" si="15"/>
        <v/>
      </c>
      <c r="U497" s="2" t="str" cm="1">
        <f t="array" ref="U497">IF(N497&lt;&gt;"yes", "", IFERROR((T497 - INDEX(T$2:T497, MATCH(TRUE, INDEX((T$2:T497&lt;&gt;"")*(N$2:N497="yes"), 0), 0))) * 1440 / COUNTIF(N$2:N497, "yes"), ""))</f>
        <v/>
      </c>
    </row>
    <row r="498" spans="18:21" x14ac:dyDescent="0.25">
      <c r="R498" s="2" t="str">
        <f t="shared" si="16"/>
        <v/>
      </c>
      <c r="S498" s="2" t="str" cm="1">
        <f t="array" aca="1" ref="S498" ca="1">IF(T498&lt;&gt;"", IFERROR((T498 - MAX(_xlfn._xlws.FILTER(T$2:T497, N$2:N497 = "yes"))) * 24 * 60, ""), "")</f>
        <v/>
      </c>
      <c r="T498" s="2" t="str">
        <f t="shared" ca="1" si="15"/>
        <v/>
      </c>
      <c r="U498" s="2" t="str" cm="1">
        <f t="array" ref="U498">IF(N498&lt;&gt;"yes", "", IFERROR((T498 - INDEX(T$2:T498, MATCH(TRUE, INDEX((T$2:T498&lt;&gt;"")*(N$2:N498="yes"), 0), 0))) * 1440 / COUNTIF(N$2:N498, "yes"), ""))</f>
        <v/>
      </c>
    </row>
    <row r="499" spans="18:21" x14ac:dyDescent="0.25">
      <c r="R499" s="2" t="str">
        <f t="shared" si="16"/>
        <v/>
      </c>
      <c r="S499" s="2" t="str" cm="1">
        <f t="array" aca="1" ref="S499" ca="1">IF(T499&lt;&gt;"", IFERROR((T499 - MAX(_xlfn._xlws.FILTER(T$2:T498, N$2:N498 = "yes"))) * 24 * 60, ""), "")</f>
        <v/>
      </c>
      <c r="T499" s="2" t="str">
        <f t="shared" ca="1" si="15"/>
        <v/>
      </c>
      <c r="U499" s="2" t="str" cm="1">
        <f t="array" ref="U499">IF(N499&lt;&gt;"yes", "", IFERROR((T499 - INDEX(T$2:T499, MATCH(TRUE, INDEX((T$2:T499&lt;&gt;"")*(N$2:N499="yes"), 0), 0))) * 1440 / COUNTIF(N$2:N499, "yes"), ""))</f>
        <v/>
      </c>
    </row>
    <row r="500" spans="18:21" x14ac:dyDescent="0.25">
      <c r="R500" s="2" t="str">
        <f t="shared" si="16"/>
        <v/>
      </c>
      <c r="S500" s="2" t="str" cm="1">
        <f t="array" aca="1" ref="S500" ca="1">IF(T500&lt;&gt;"", IFERROR((T500 - MAX(_xlfn._xlws.FILTER(T$2:T499, N$2:N499 = "yes"))) * 24 * 60, ""), "")</f>
        <v/>
      </c>
      <c r="T500" s="2" t="str">
        <f t="shared" ca="1" si="15"/>
        <v/>
      </c>
      <c r="U500" s="2" t="str" cm="1">
        <f t="array" ref="U500">IF(N500&lt;&gt;"yes", "", IFERROR((T500 - INDEX(T$2:T500, MATCH(TRUE, INDEX((T$2:T500&lt;&gt;"")*(N$2:N500="yes"), 0), 0))) * 1440 / COUNTIF(N$2:N500, "yes"), ""))</f>
        <v/>
      </c>
    </row>
    <row r="501" spans="18:21" x14ac:dyDescent="0.25">
      <c r="R501" s="2" t="str">
        <f t="shared" si="16"/>
        <v/>
      </c>
      <c r="S501" s="2" t="str" cm="1">
        <f t="array" aca="1" ref="S501" ca="1">IF(T501&lt;&gt;"", IFERROR((T501 - MAX(_xlfn._xlws.FILTER(T$2:T500, N$2:N500 = "yes"))) * 24 * 60, ""), "")</f>
        <v/>
      </c>
      <c r="T501" s="2" t="str">
        <f t="shared" ca="1" si="15"/>
        <v/>
      </c>
      <c r="U501" s="2" t="str" cm="1">
        <f t="array" ref="U501">IF(N501&lt;&gt;"yes", "", IFERROR((T501 - INDEX(T$2:T501, MATCH(TRUE, INDEX((T$2:T501&lt;&gt;"")*(N$2:N501="yes"), 0), 0))) * 1440 / COUNTIF(N$2:N501, "yes"), ""))</f>
        <v/>
      </c>
    </row>
    <row r="502" spans="18:21" x14ac:dyDescent="0.25">
      <c r="R502" s="2" t="str">
        <f t="shared" si="16"/>
        <v/>
      </c>
      <c r="S502" s="2" t="str" cm="1">
        <f t="array" aca="1" ref="S502" ca="1">IF(T502&lt;&gt;"", IFERROR((T502 - MAX(_xlfn._xlws.FILTER(T$2:T501, N$2:N501 = "yes"))) * 24 * 60, ""), "")</f>
        <v/>
      </c>
      <c r="T502" s="2" t="str">
        <f t="shared" ca="1" si="15"/>
        <v/>
      </c>
      <c r="U502" s="2" t="str" cm="1">
        <f t="array" ref="U502">IF(N502&lt;&gt;"yes", "", IFERROR((T502 - INDEX(T$2:T502, MATCH(TRUE, INDEX((T$2:T502&lt;&gt;"")*(N$2:N502="yes"), 0), 0))) * 1440 / COUNTIF(N$2:N502, "yes"), ""))</f>
        <v/>
      </c>
    </row>
    <row r="503" spans="18:21" x14ac:dyDescent="0.25">
      <c r="R503" s="2" t="str">
        <f t="shared" si="16"/>
        <v/>
      </c>
      <c r="S503" s="2" t="str" cm="1">
        <f t="array" aca="1" ref="S503" ca="1">IF(T503&lt;&gt;"", IFERROR((T503 - MAX(_xlfn._xlws.FILTER(T$2:T502, N$2:N502 = "yes"))) * 24 * 60, ""), "")</f>
        <v/>
      </c>
      <c r="T503" s="2" t="str">
        <f t="shared" ca="1" si="15"/>
        <v/>
      </c>
      <c r="U503" s="2" t="str" cm="1">
        <f t="array" ref="U503">IF(N503&lt;&gt;"yes", "", IFERROR((T503 - INDEX(T$2:T503, MATCH(TRUE, INDEX((T$2:T503&lt;&gt;"")*(N$2:N503="yes"), 0), 0))) * 1440 / COUNTIF(N$2:N503, "yes"), ""))</f>
        <v/>
      </c>
    </row>
    <row r="504" spans="18:21" x14ac:dyDescent="0.25">
      <c r="R504" s="2" t="str">
        <f t="shared" si="16"/>
        <v/>
      </c>
      <c r="S504" s="2" t="str" cm="1">
        <f t="array" aca="1" ref="S504" ca="1">IF(T504&lt;&gt;"", IFERROR((T504 - MAX(_xlfn._xlws.FILTER(T$2:T503, N$2:N503 = "yes"))) * 24 * 60, ""), "")</f>
        <v/>
      </c>
      <c r="T504" s="2" t="str">
        <f t="shared" ca="1" si="15"/>
        <v/>
      </c>
      <c r="U504" s="2" t="str" cm="1">
        <f t="array" ref="U504">IF(N504&lt;&gt;"yes", "", IFERROR((T504 - INDEX(T$2:T504, MATCH(TRUE, INDEX((T$2:T504&lt;&gt;"")*(N$2:N504="yes"), 0), 0))) * 1440 / COUNTIF(N$2:N504, "yes"), ""))</f>
        <v/>
      </c>
    </row>
    <row r="505" spans="18:21" x14ac:dyDescent="0.25">
      <c r="R505" s="2" t="str">
        <f t="shared" si="16"/>
        <v/>
      </c>
      <c r="S505" s="2" t="str" cm="1">
        <f t="array" aca="1" ref="S505" ca="1">IF(T505&lt;&gt;"", IFERROR((T505 - MAX(_xlfn._xlws.FILTER(T$2:T504, N$2:N504 = "yes"))) * 24 * 60, ""), "")</f>
        <v/>
      </c>
      <c r="T505" s="2" t="str">
        <f t="shared" ca="1" si="15"/>
        <v/>
      </c>
      <c r="U505" s="2" t="str" cm="1">
        <f t="array" ref="U505">IF(N505&lt;&gt;"yes", "", IFERROR((T505 - INDEX(T$2:T505, MATCH(TRUE, INDEX((T$2:T505&lt;&gt;"")*(N$2:N505="yes"), 0), 0))) * 1440 / COUNTIF(N$2:N505, "yes"), ""))</f>
        <v/>
      </c>
    </row>
    <row r="506" spans="18:21" x14ac:dyDescent="0.25">
      <c r="R506" s="2" t="str">
        <f t="shared" si="16"/>
        <v/>
      </c>
      <c r="S506" s="2" t="str" cm="1">
        <f t="array" aca="1" ref="S506" ca="1">IF(T506&lt;&gt;"", IFERROR((T506 - MAX(_xlfn._xlws.FILTER(T$2:T505, N$2:N505 = "yes"))) * 24 * 60, ""), "")</f>
        <v/>
      </c>
      <c r="T506" s="2" t="str">
        <f t="shared" ca="1" si="15"/>
        <v/>
      </c>
      <c r="U506" s="2" t="str" cm="1">
        <f t="array" ref="U506">IF(N506&lt;&gt;"yes", "", IFERROR((T506 - INDEX(T$2:T506, MATCH(TRUE, INDEX((T$2:T506&lt;&gt;"")*(N$2:N506="yes"), 0), 0))) * 1440 / COUNTIF(N$2:N506, "yes"), ""))</f>
        <v/>
      </c>
    </row>
    <row r="507" spans="18:21" x14ac:dyDescent="0.25">
      <c r="R507" s="2" t="str">
        <f t="shared" si="16"/>
        <v/>
      </c>
      <c r="S507" s="2" t="str" cm="1">
        <f t="array" aca="1" ref="S507" ca="1">IF(T507&lt;&gt;"", IFERROR((T507 - MAX(_xlfn._xlws.FILTER(T$2:T506, N$2:N506 = "yes"))) * 24 * 60, ""), "")</f>
        <v/>
      </c>
      <c r="T507" s="2" t="str">
        <f t="shared" ca="1" si="15"/>
        <v/>
      </c>
      <c r="U507" s="2" t="str" cm="1">
        <f t="array" ref="U507">IF(N507&lt;&gt;"yes", "", IFERROR((T507 - INDEX(T$2:T507, MATCH(TRUE, INDEX((T$2:T507&lt;&gt;"")*(N$2:N507="yes"), 0), 0))) * 1440 / COUNTIF(N$2:N507, "yes"), ""))</f>
        <v/>
      </c>
    </row>
    <row r="508" spans="18:21" x14ac:dyDescent="0.25">
      <c r="R508" s="2" t="str">
        <f t="shared" si="16"/>
        <v/>
      </c>
      <c r="S508" s="2" t="str" cm="1">
        <f t="array" aca="1" ref="S508" ca="1">IF(T508&lt;&gt;"", IFERROR((T508 - MAX(_xlfn._xlws.FILTER(T$2:T507, N$2:N507 = "yes"))) * 24 * 60, ""), "")</f>
        <v/>
      </c>
      <c r="T508" s="2" t="str">
        <f t="shared" ca="1" si="15"/>
        <v/>
      </c>
      <c r="U508" s="2" t="str" cm="1">
        <f t="array" ref="U508">IF(N508&lt;&gt;"yes", "", IFERROR((T508 - INDEX(T$2:T508, MATCH(TRUE, INDEX((T$2:T508&lt;&gt;"")*(N$2:N508="yes"), 0), 0))) * 1440 / COUNTIF(N$2:N508, "yes"), ""))</f>
        <v/>
      </c>
    </row>
    <row r="509" spans="18:21" x14ac:dyDescent="0.25">
      <c r="R509" s="2" t="str">
        <f t="shared" si="16"/>
        <v/>
      </c>
      <c r="S509" s="2" t="str" cm="1">
        <f t="array" aca="1" ref="S509" ca="1">IF(T509&lt;&gt;"", IFERROR((T509 - MAX(_xlfn._xlws.FILTER(T$2:T508, N$2:N508 = "yes"))) * 24 * 60, ""), "")</f>
        <v/>
      </c>
      <c r="T509" s="2" t="str">
        <f t="shared" ca="1" si="15"/>
        <v/>
      </c>
      <c r="U509" s="2" t="str" cm="1">
        <f t="array" ref="U509">IF(N509&lt;&gt;"yes", "", IFERROR((T509 - INDEX(T$2:T509, MATCH(TRUE, INDEX((T$2:T509&lt;&gt;"")*(N$2:N509="yes"), 0), 0))) * 1440 / COUNTIF(N$2:N509, "yes"), ""))</f>
        <v/>
      </c>
    </row>
    <row r="510" spans="18:21" x14ac:dyDescent="0.25">
      <c r="R510" s="2" t="str">
        <f t="shared" si="16"/>
        <v/>
      </c>
      <c r="S510" s="2" t="str" cm="1">
        <f t="array" aca="1" ref="S510" ca="1">IF(T510&lt;&gt;"", IFERROR((T510 - MAX(_xlfn._xlws.FILTER(T$2:T509, N$2:N509 = "yes"))) * 24 * 60, ""), "")</f>
        <v/>
      </c>
      <c r="T510" s="2" t="str">
        <f t="shared" ca="1" si="15"/>
        <v/>
      </c>
      <c r="U510" s="2" t="str" cm="1">
        <f t="array" ref="U510">IF(N510&lt;&gt;"yes", "", IFERROR((T510 - INDEX(T$2:T510, MATCH(TRUE, INDEX((T$2:T510&lt;&gt;"")*(N$2:N510="yes"), 0), 0))) * 1440 / COUNTIF(N$2:N510, "yes"), ""))</f>
        <v/>
      </c>
    </row>
    <row r="511" spans="18:21" x14ac:dyDescent="0.25">
      <c r="R511" s="2" t="str">
        <f t="shared" si="16"/>
        <v/>
      </c>
      <c r="S511" s="2" t="str" cm="1">
        <f t="array" aca="1" ref="S511" ca="1">IF(T511&lt;&gt;"", IFERROR((T511 - MAX(_xlfn._xlws.FILTER(T$2:T510, N$2:N510 = "yes"))) * 24 * 60, ""), "")</f>
        <v/>
      </c>
      <c r="T511" s="2" t="str">
        <f t="shared" ca="1" si="15"/>
        <v/>
      </c>
      <c r="U511" s="2" t="str" cm="1">
        <f t="array" ref="U511">IF(N511&lt;&gt;"yes", "", IFERROR((T511 - INDEX(T$2:T511, MATCH(TRUE, INDEX((T$2:T511&lt;&gt;"")*(N$2:N511="yes"), 0), 0))) * 1440 / COUNTIF(N$2:N511, "yes"), ""))</f>
        <v/>
      </c>
    </row>
    <row r="512" spans="18:21" x14ac:dyDescent="0.25">
      <c r="R512" s="2" t="str">
        <f t="shared" si="16"/>
        <v/>
      </c>
      <c r="S512" s="2" t="str" cm="1">
        <f t="array" aca="1" ref="S512" ca="1">IF(T512&lt;&gt;"", IFERROR((T512 - MAX(_xlfn._xlws.FILTER(T$2:T511, N$2:N511 = "yes"))) * 24 * 60, ""), "")</f>
        <v/>
      </c>
      <c r="T512" s="2" t="str">
        <f t="shared" ca="1" si="15"/>
        <v/>
      </c>
      <c r="U512" s="2" t="str" cm="1">
        <f t="array" ref="U512">IF(N512&lt;&gt;"yes", "", IFERROR((T512 - INDEX(T$2:T512, MATCH(TRUE, INDEX((T$2:T512&lt;&gt;"")*(N$2:N512="yes"), 0), 0))) * 1440 / COUNTIF(N$2:N512, "yes"), ""))</f>
        <v/>
      </c>
    </row>
    <row r="513" spans="18:21" x14ac:dyDescent="0.25">
      <c r="R513" s="2" t="str">
        <f t="shared" si="16"/>
        <v/>
      </c>
      <c r="S513" s="2" t="str" cm="1">
        <f t="array" aca="1" ref="S513" ca="1">IF(T513&lt;&gt;"", IFERROR((T513 - MAX(_xlfn._xlws.FILTER(T$2:T512, N$2:N512 = "yes"))) * 24 * 60, ""), "")</f>
        <v/>
      </c>
      <c r="T513" s="2" t="str">
        <f t="shared" ca="1" si="15"/>
        <v/>
      </c>
      <c r="U513" s="2" t="str" cm="1">
        <f t="array" ref="U513">IF(N513&lt;&gt;"yes", "", IFERROR((T513 - INDEX(T$2:T513, MATCH(TRUE, INDEX((T$2:T513&lt;&gt;"")*(N$2:N513="yes"), 0), 0))) * 1440 / COUNTIF(N$2:N513, "yes"), ""))</f>
        <v/>
      </c>
    </row>
    <row r="514" spans="18:21" x14ac:dyDescent="0.25">
      <c r="R514" s="2" t="str">
        <f t="shared" si="16"/>
        <v/>
      </c>
      <c r="S514" s="2" t="str" cm="1">
        <f t="array" aca="1" ref="S514" ca="1">IF(T514&lt;&gt;"", IFERROR((T514 - MAX(_xlfn._xlws.FILTER(T$2:T513, N$2:N513 = "yes"))) * 24 * 60, ""), "")</f>
        <v/>
      </c>
      <c r="T514" s="2" t="str">
        <f t="shared" ref="T514:T577" ca="1" si="17">IF(N514="yes", NOW(), "")</f>
        <v/>
      </c>
      <c r="U514" s="2" t="str" cm="1">
        <f t="array" ref="U514">IF(N514&lt;&gt;"yes", "", IFERROR((T514 - INDEX(T$2:T514, MATCH(TRUE, INDEX((T$2:T514&lt;&gt;"")*(N$2:N514="yes"), 0), 0))) * 1440 / COUNTIF(N$2:N514, "yes"), ""))</f>
        <v/>
      </c>
    </row>
    <row r="515" spans="18:21" x14ac:dyDescent="0.25">
      <c r="R515" s="2" t="str">
        <f t="shared" ref="R515:R578" si="18">IF(AND(ISNUMBER(P515), ISNUMBER(Q515)), (Q515 - P515) * 1440, "")</f>
        <v/>
      </c>
      <c r="S515" s="2" t="str" cm="1">
        <f t="array" aca="1" ref="S515" ca="1">IF(T515&lt;&gt;"", IFERROR((T515 - MAX(_xlfn._xlws.FILTER(T$2:T514, N$2:N514 = "yes"))) * 24 * 60, ""), "")</f>
        <v/>
      </c>
      <c r="T515" s="2" t="str">
        <f t="shared" ca="1" si="17"/>
        <v/>
      </c>
      <c r="U515" s="2" t="str" cm="1">
        <f t="array" ref="U515">IF(N515&lt;&gt;"yes", "", IFERROR((T515 - INDEX(T$2:T515, MATCH(TRUE, INDEX((T$2:T515&lt;&gt;"")*(N$2:N515="yes"), 0), 0))) * 1440 / COUNTIF(N$2:N515, "yes"), ""))</f>
        <v/>
      </c>
    </row>
    <row r="516" spans="18:21" x14ac:dyDescent="0.25">
      <c r="R516" s="2" t="str">
        <f t="shared" si="18"/>
        <v/>
      </c>
      <c r="S516" s="2" t="str" cm="1">
        <f t="array" aca="1" ref="S516" ca="1">IF(T516&lt;&gt;"", IFERROR((T516 - MAX(_xlfn._xlws.FILTER(T$2:T515, N$2:N515 = "yes"))) * 24 * 60, ""), "")</f>
        <v/>
      </c>
      <c r="T516" s="2" t="str">
        <f t="shared" ca="1" si="17"/>
        <v/>
      </c>
      <c r="U516" s="2" t="str" cm="1">
        <f t="array" ref="U516">IF(N516&lt;&gt;"yes", "", IFERROR((T516 - INDEX(T$2:T516, MATCH(TRUE, INDEX((T$2:T516&lt;&gt;"")*(N$2:N516="yes"), 0), 0))) * 1440 / COUNTIF(N$2:N516, "yes"), ""))</f>
        <v/>
      </c>
    </row>
    <row r="517" spans="18:21" x14ac:dyDescent="0.25">
      <c r="R517" s="2" t="str">
        <f t="shared" si="18"/>
        <v/>
      </c>
      <c r="S517" s="2" t="str" cm="1">
        <f t="array" aca="1" ref="S517" ca="1">IF(T517&lt;&gt;"", IFERROR((T517 - MAX(_xlfn._xlws.FILTER(T$2:T516, N$2:N516 = "yes"))) * 24 * 60, ""), "")</f>
        <v/>
      </c>
      <c r="T517" s="2" t="str">
        <f t="shared" ca="1" si="17"/>
        <v/>
      </c>
      <c r="U517" s="2" t="str" cm="1">
        <f t="array" ref="U517">IF(N517&lt;&gt;"yes", "", IFERROR((T517 - INDEX(T$2:T517, MATCH(TRUE, INDEX((T$2:T517&lt;&gt;"")*(N$2:N517="yes"), 0), 0))) * 1440 / COUNTIF(N$2:N517, "yes"), ""))</f>
        <v/>
      </c>
    </row>
    <row r="518" spans="18:21" x14ac:dyDescent="0.25">
      <c r="R518" s="2" t="str">
        <f t="shared" si="18"/>
        <v/>
      </c>
      <c r="S518" s="2" t="str" cm="1">
        <f t="array" aca="1" ref="S518" ca="1">IF(T518&lt;&gt;"", IFERROR((T518 - MAX(_xlfn._xlws.FILTER(T$2:T517, N$2:N517 = "yes"))) * 24 * 60, ""), "")</f>
        <v/>
      </c>
      <c r="T518" s="2" t="str">
        <f t="shared" ca="1" si="17"/>
        <v/>
      </c>
      <c r="U518" s="2" t="str" cm="1">
        <f t="array" ref="U518">IF(N518&lt;&gt;"yes", "", IFERROR((T518 - INDEX(T$2:T518, MATCH(TRUE, INDEX((T$2:T518&lt;&gt;"")*(N$2:N518="yes"), 0), 0))) * 1440 / COUNTIF(N$2:N518, "yes"), ""))</f>
        <v/>
      </c>
    </row>
    <row r="519" spans="18:21" x14ac:dyDescent="0.25">
      <c r="R519" s="2" t="str">
        <f t="shared" si="18"/>
        <v/>
      </c>
      <c r="S519" s="2" t="str" cm="1">
        <f t="array" aca="1" ref="S519" ca="1">IF(T519&lt;&gt;"", IFERROR((T519 - MAX(_xlfn._xlws.FILTER(T$2:T518, N$2:N518 = "yes"))) * 24 * 60, ""), "")</f>
        <v/>
      </c>
      <c r="T519" s="2" t="str">
        <f t="shared" ca="1" si="17"/>
        <v/>
      </c>
      <c r="U519" s="2" t="str" cm="1">
        <f t="array" ref="U519">IF(N519&lt;&gt;"yes", "", IFERROR((T519 - INDEX(T$2:T519, MATCH(TRUE, INDEX((T$2:T519&lt;&gt;"")*(N$2:N519="yes"), 0), 0))) * 1440 / COUNTIF(N$2:N519, "yes"), ""))</f>
        <v/>
      </c>
    </row>
    <row r="520" spans="18:21" x14ac:dyDescent="0.25">
      <c r="R520" s="2" t="str">
        <f t="shared" si="18"/>
        <v/>
      </c>
      <c r="S520" s="2" t="str" cm="1">
        <f t="array" aca="1" ref="S520" ca="1">IF(T520&lt;&gt;"", IFERROR((T520 - MAX(_xlfn._xlws.FILTER(T$2:T519, N$2:N519 = "yes"))) * 24 * 60, ""), "")</f>
        <v/>
      </c>
      <c r="T520" s="2" t="str">
        <f t="shared" ca="1" si="17"/>
        <v/>
      </c>
      <c r="U520" s="2" t="str" cm="1">
        <f t="array" ref="U520">IF(N520&lt;&gt;"yes", "", IFERROR((T520 - INDEX(T$2:T520, MATCH(TRUE, INDEX((T$2:T520&lt;&gt;"")*(N$2:N520="yes"), 0), 0))) * 1440 / COUNTIF(N$2:N520, "yes"), ""))</f>
        <v/>
      </c>
    </row>
    <row r="521" spans="18:21" x14ac:dyDescent="0.25">
      <c r="R521" s="2" t="str">
        <f t="shared" si="18"/>
        <v/>
      </c>
      <c r="S521" s="2" t="str" cm="1">
        <f t="array" aca="1" ref="S521" ca="1">IF(T521&lt;&gt;"", IFERROR((T521 - MAX(_xlfn._xlws.FILTER(T$2:T520, N$2:N520 = "yes"))) * 24 * 60, ""), "")</f>
        <v/>
      </c>
      <c r="T521" s="2" t="str">
        <f t="shared" ca="1" si="17"/>
        <v/>
      </c>
      <c r="U521" s="2" t="str" cm="1">
        <f t="array" ref="U521">IF(N521&lt;&gt;"yes", "", IFERROR((T521 - INDEX(T$2:T521, MATCH(TRUE, INDEX((T$2:T521&lt;&gt;"")*(N$2:N521="yes"), 0), 0))) * 1440 / COUNTIF(N$2:N521, "yes"), ""))</f>
        <v/>
      </c>
    </row>
    <row r="522" spans="18:21" x14ac:dyDescent="0.25">
      <c r="R522" s="2" t="str">
        <f t="shared" si="18"/>
        <v/>
      </c>
      <c r="S522" s="2" t="str" cm="1">
        <f t="array" aca="1" ref="S522" ca="1">IF(T522&lt;&gt;"", IFERROR((T522 - MAX(_xlfn._xlws.FILTER(T$2:T521, N$2:N521 = "yes"))) * 24 * 60, ""), "")</f>
        <v/>
      </c>
      <c r="T522" s="2" t="str">
        <f t="shared" ca="1" si="17"/>
        <v/>
      </c>
      <c r="U522" s="2" t="str" cm="1">
        <f t="array" ref="U522">IF(N522&lt;&gt;"yes", "", IFERROR((T522 - INDEX(T$2:T522, MATCH(TRUE, INDEX((T$2:T522&lt;&gt;"")*(N$2:N522="yes"), 0), 0))) * 1440 / COUNTIF(N$2:N522, "yes"), ""))</f>
        <v/>
      </c>
    </row>
    <row r="523" spans="18:21" x14ac:dyDescent="0.25">
      <c r="R523" s="2" t="str">
        <f t="shared" si="18"/>
        <v/>
      </c>
      <c r="S523" s="2" t="str" cm="1">
        <f t="array" aca="1" ref="S523" ca="1">IF(T523&lt;&gt;"", IFERROR((T523 - MAX(_xlfn._xlws.FILTER(T$2:T522, N$2:N522 = "yes"))) * 24 * 60, ""), "")</f>
        <v/>
      </c>
      <c r="T523" s="2" t="str">
        <f t="shared" ca="1" si="17"/>
        <v/>
      </c>
      <c r="U523" s="2" t="str" cm="1">
        <f t="array" ref="U523">IF(N523&lt;&gt;"yes", "", IFERROR((T523 - INDEX(T$2:T523, MATCH(TRUE, INDEX((T$2:T523&lt;&gt;"")*(N$2:N523="yes"), 0), 0))) * 1440 / COUNTIF(N$2:N523, "yes"), ""))</f>
        <v/>
      </c>
    </row>
    <row r="524" spans="18:21" x14ac:dyDescent="0.25">
      <c r="R524" s="2" t="str">
        <f t="shared" si="18"/>
        <v/>
      </c>
      <c r="S524" s="2" t="str" cm="1">
        <f t="array" aca="1" ref="S524" ca="1">IF(T524&lt;&gt;"", IFERROR((T524 - MAX(_xlfn._xlws.FILTER(T$2:T523, N$2:N523 = "yes"))) * 24 * 60, ""), "")</f>
        <v/>
      </c>
      <c r="T524" s="2" t="str">
        <f t="shared" ca="1" si="17"/>
        <v/>
      </c>
      <c r="U524" s="2" t="str" cm="1">
        <f t="array" ref="U524">IF(N524&lt;&gt;"yes", "", IFERROR((T524 - INDEX(T$2:T524, MATCH(TRUE, INDEX((T$2:T524&lt;&gt;"")*(N$2:N524="yes"), 0), 0))) * 1440 / COUNTIF(N$2:N524, "yes"), ""))</f>
        <v/>
      </c>
    </row>
    <row r="525" spans="18:21" x14ac:dyDescent="0.25">
      <c r="R525" s="2" t="str">
        <f t="shared" si="18"/>
        <v/>
      </c>
      <c r="S525" s="2" t="str" cm="1">
        <f t="array" aca="1" ref="S525" ca="1">IF(T525&lt;&gt;"", IFERROR((T525 - MAX(_xlfn._xlws.FILTER(T$2:T524, N$2:N524 = "yes"))) * 24 * 60, ""), "")</f>
        <v/>
      </c>
      <c r="T525" s="2" t="str">
        <f t="shared" ca="1" si="17"/>
        <v/>
      </c>
      <c r="U525" s="2" t="str" cm="1">
        <f t="array" ref="U525">IF(N525&lt;&gt;"yes", "", IFERROR((T525 - INDEX(T$2:T525, MATCH(TRUE, INDEX((T$2:T525&lt;&gt;"")*(N$2:N525="yes"), 0), 0))) * 1440 / COUNTIF(N$2:N525, "yes"), ""))</f>
        <v/>
      </c>
    </row>
    <row r="526" spans="18:21" x14ac:dyDescent="0.25">
      <c r="R526" s="2" t="str">
        <f t="shared" si="18"/>
        <v/>
      </c>
      <c r="S526" s="2" t="str" cm="1">
        <f t="array" aca="1" ref="S526" ca="1">IF(T526&lt;&gt;"", IFERROR((T526 - MAX(_xlfn._xlws.FILTER(T$2:T525, N$2:N525 = "yes"))) * 24 * 60, ""), "")</f>
        <v/>
      </c>
      <c r="T526" s="2" t="str">
        <f t="shared" ca="1" si="17"/>
        <v/>
      </c>
      <c r="U526" s="2" t="str" cm="1">
        <f t="array" ref="U526">IF(N526&lt;&gt;"yes", "", IFERROR((T526 - INDEX(T$2:T526, MATCH(TRUE, INDEX((T$2:T526&lt;&gt;"")*(N$2:N526="yes"), 0), 0))) * 1440 / COUNTIF(N$2:N526, "yes"), ""))</f>
        <v/>
      </c>
    </row>
    <row r="527" spans="18:21" x14ac:dyDescent="0.25">
      <c r="R527" s="2" t="str">
        <f t="shared" si="18"/>
        <v/>
      </c>
      <c r="S527" s="2" t="str" cm="1">
        <f t="array" aca="1" ref="S527" ca="1">IF(T527&lt;&gt;"", IFERROR((T527 - MAX(_xlfn._xlws.FILTER(T$2:T526, N$2:N526 = "yes"))) * 24 * 60, ""), "")</f>
        <v/>
      </c>
      <c r="T527" s="2" t="str">
        <f t="shared" ca="1" si="17"/>
        <v/>
      </c>
      <c r="U527" s="2" t="str" cm="1">
        <f t="array" ref="U527">IF(N527&lt;&gt;"yes", "", IFERROR((T527 - INDEX(T$2:T527, MATCH(TRUE, INDEX((T$2:T527&lt;&gt;"")*(N$2:N527="yes"), 0), 0))) * 1440 / COUNTIF(N$2:N527, "yes"), ""))</f>
        <v/>
      </c>
    </row>
    <row r="528" spans="18:21" x14ac:dyDescent="0.25">
      <c r="R528" s="2" t="str">
        <f t="shared" si="18"/>
        <v/>
      </c>
      <c r="S528" s="2" t="str" cm="1">
        <f t="array" aca="1" ref="S528" ca="1">IF(T528&lt;&gt;"", IFERROR((T528 - MAX(_xlfn._xlws.FILTER(T$2:T527, N$2:N527 = "yes"))) * 24 * 60, ""), "")</f>
        <v/>
      </c>
      <c r="T528" s="2" t="str">
        <f t="shared" ca="1" si="17"/>
        <v/>
      </c>
      <c r="U528" s="2" t="str" cm="1">
        <f t="array" ref="U528">IF(N528&lt;&gt;"yes", "", IFERROR((T528 - INDEX(T$2:T528, MATCH(TRUE, INDEX((T$2:T528&lt;&gt;"")*(N$2:N528="yes"), 0), 0))) * 1440 / COUNTIF(N$2:N528, "yes"), ""))</f>
        <v/>
      </c>
    </row>
    <row r="529" spans="18:21" x14ac:dyDescent="0.25">
      <c r="R529" s="2" t="str">
        <f t="shared" si="18"/>
        <v/>
      </c>
      <c r="S529" s="2" t="str" cm="1">
        <f t="array" aca="1" ref="S529" ca="1">IF(T529&lt;&gt;"", IFERROR((T529 - MAX(_xlfn._xlws.FILTER(T$2:T528, N$2:N528 = "yes"))) * 24 * 60, ""), "")</f>
        <v/>
      </c>
      <c r="T529" s="2" t="str">
        <f t="shared" ca="1" si="17"/>
        <v/>
      </c>
      <c r="U529" s="2" t="str" cm="1">
        <f t="array" ref="U529">IF(N529&lt;&gt;"yes", "", IFERROR((T529 - INDEX(T$2:T529, MATCH(TRUE, INDEX((T$2:T529&lt;&gt;"")*(N$2:N529="yes"), 0), 0))) * 1440 / COUNTIF(N$2:N529, "yes"), ""))</f>
        <v/>
      </c>
    </row>
    <row r="530" spans="18:21" x14ac:dyDescent="0.25">
      <c r="R530" s="2" t="str">
        <f t="shared" si="18"/>
        <v/>
      </c>
      <c r="S530" s="2" t="str" cm="1">
        <f t="array" aca="1" ref="S530" ca="1">IF(T530&lt;&gt;"", IFERROR((T530 - MAX(_xlfn._xlws.FILTER(T$2:T529, N$2:N529 = "yes"))) * 24 * 60, ""), "")</f>
        <v/>
      </c>
      <c r="T530" s="2" t="str">
        <f t="shared" ca="1" si="17"/>
        <v/>
      </c>
      <c r="U530" s="2" t="str" cm="1">
        <f t="array" ref="U530">IF(N530&lt;&gt;"yes", "", IFERROR((T530 - INDEX(T$2:T530, MATCH(TRUE, INDEX((T$2:T530&lt;&gt;"")*(N$2:N530="yes"), 0), 0))) * 1440 / COUNTIF(N$2:N530, "yes"), ""))</f>
        <v/>
      </c>
    </row>
    <row r="531" spans="18:21" x14ac:dyDescent="0.25">
      <c r="R531" s="2" t="str">
        <f t="shared" si="18"/>
        <v/>
      </c>
      <c r="S531" s="2" t="str" cm="1">
        <f t="array" aca="1" ref="S531" ca="1">IF(T531&lt;&gt;"", IFERROR((T531 - MAX(_xlfn._xlws.FILTER(T$2:T530, N$2:N530 = "yes"))) * 24 * 60, ""), "")</f>
        <v/>
      </c>
      <c r="T531" s="2" t="str">
        <f t="shared" ca="1" si="17"/>
        <v/>
      </c>
      <c r="U531" s="2" t="str" cm="1">
        <f t="array" ref="U531">IF(N531&lt;&gt;"yes", "", IFERROR((T531 - INDEX(T$2:T531, MATCH(TRUE, INDEX((T$2:T531&lt;&gt;"")*(N$2:N531="yes"), 0), 0))) * 1440 / COUNTIF(N$2:N531, "yes"), ""))</f>
        <v/>
      </c>
    </row>
    <row r="532" spans="18:21" x14ac:dyDescent="0.25">
      <c r="R532" s="2" t="str">
        <f t="shared" si="18"/>
        <v/>
      </c>
      <c r="S532" s="2" t="str" cm="1">
        <f t="array" aca="1" ref="S532" ca="1">IF(T532&lt;&gt;"", IFERROR((T532 - MAX(_xlfn._xlws.FILTER(T$2:T531, N$2:N531 = "yes"))) * 24 * 60, ""), "")</f>
        <v/>
      </c>
      <c r="T532" s="2" t="str">
        <f t="shared" ca="1" si="17"/>
        <v/>
      </c>
      <c r="U532" s="2" t="str" cm="1">
        <f t="array" ref="U532">IF(N532&lt;&gt;"yes", "", IFERROR((T532 - INDEX(T$2:T532, MATCH(TRUE, INDEX((T$2:T532&lt;&gt;"")*(N$2:N532="yes"), 0), 0))) * 1440 / COUNTIF(N$2:N532, "yes"), ""))</f>
        <v/>
      </c>
    </row>
    <row r="533" spans="18:21" x14ac:dyDescent="0.25">
      <c r="R533" s="2" t="str">
        <f t="shared" si="18"/>
        <v/>
      </c>
      <c r="S533" s="2" t="str" cm="1">
        <f t="array" aca="1" ref="S533" ca="1">IF(T533&lt;&gt;"", IFERROR((T533 - MAX(_xlfn._xlws.FILTER(T$2:T532, N$2:N532 = "yes"))) * 24 * 60, ""), "")</f>
        <v/>
      </c>
      <c r="T533" s="2" t="str">
        <f t="shared" ca="1" si="17"/>
        <v/>
      </c>
      <c r="U533" s="2" t="str" cm="1">
        <f t="array" ref="U533">IF(N533&lt;&gt;"yes", "", IFERROR((T533 - INDEX(T$2:T533, MATCH(TRUE, INDEX((T$2:T533&lt;&gt;"")*(N$2:N533="yes"), 0), 0))) * 1440 / COUNTIF(N$2:N533, "yes"), ""))</f>
        <v/>
      </c>
    </row>
    <row r="534" spans="18:21" x14ac:dyDescent="0.25">
      <c r="R534" s="2" t="str">
        <f t="shared" si="18"/>
        <v/>
      </c>
      <c r="S534" s="2" t="str" cm="1">
        <f t="array" aca="1" ref="S534" ca="1">IF(T534&lt;&gt;"", IFERROR((T534 - MAX(_xlfn._xlws.FILTER(T$2:T533, N$2:N533 = "yes"))) * 24 * 60, ""), "")</f>
        <v/>
      </c>
      <c r="T534" s="2" t="str">
        <f t="shared" ca="1" si="17"/>
        <v/>
      </c>
      <c r="U534" s="2" t="str" cm="1">
        <f t="array" ref="U534">IF(N534&lt;&gt;"yes", "", IFERROR((T534 - INDEX(T$2:T534, MATCH(TRUE, INDEX((T$2:T534&lt;&gt;"")*(N$2:N534="yes"), 0), 0))) * 1440 / COUNTIF(N$2:N534, "yes"), ""))</f>
        <v/>
      </c>
    </row>
    <row r="535" spans="18:21" x14ac:dyDescent="0.25">
      <c r="R535" s="2" t="str">
        <f t="shared" si="18"/>
        <v/>
      </c>
      <c r="S535" s="2" t="str" cm="1">
        <f t="array" aca="1" ref="S535" ca="1">IF(T535&lt;&gt;"", IFERROR((T535 - MAX(_xlfn._xlws.FILTER(T$2:T534, N$2:N534 = "yes"))) * 24 * 60, ""), "")</f>
        <v/>
      </c>
      <c r="T535" s="2" t="str">
        <f t="shared" ca="1" si="17"/>
        <v/>
      </c>
      <c r="U535" s="2" t="str" cm="1">
        <f t="array" ref="U535">IF(N535&lt;&gt;"yes", "", IFERROR((T535 - INDEX(T$2:T535, MATCH(TRUE, INDEX((T$2:T535&lt;&gt;"")*(N$2:N535="yes"), 0), 0))) * 1440 / COUNTIF(N$2:N535, "yes"), ""))</f>
        <v/>
      </c>
    </row>
    <row r="536" spans="18:21" x14ac:dyDescent="0.25">
      <c r="R536" s="2" t="str">
        <f t="shared" si="18"/>
        <v/>
      </c>
      <c r="S536" s="2" t="str" cm="1">
        <f t="array" aca="1" ref="S536" ca="1">IF(T536&lt;&gt;"", IFERROR((T536 - MAX(_xlfn._xlws.FILTER(T$2:T535, N$2:N535 = "yes"))) * 24 * 60, ""), "")</f>
        <v/>
      </c>
      <c r="T536" s="2" t="str">
        <f t="shared" ca="1" si="17"/>
        <v/>
      </c>
      <c r="U536" s="2" t="str" cm="1">
        <f t="array" ref="U536">IF(N536&lt;&gt;"yes", "", IFERROR((T536 - INDEX(T$2:T536, MATCH(TRUE, INDEX((T$2:T536&lt;&gt;"")*(N$2:N536="yes"), 0), 0))) * 1440 / COUNTIF(N$2:N536, "yes"), ""))</f>
        <v/>
      </c>
    </row>
    <row r="537" spans="18:21" x14ac:dyDescent="0.25">
      <c r="R537" s="2" t="str">
        <f t="shared" si="18"/>
        <v/>
      </c>
      <c r="S537" s="2" t="str" cm="1">
        <f t="array" aca="1" ref="S537" ca="1">IF(T537&lt;&gt;"", IFERROR((T537 - MAX(_xlfn._xlws.FILTER(T$2:T536, N$2:N536 = "yes"))) * 24 * 60, ""), "")</f>
        <v/>
      </c>
      <c r="T537" s="2" t="str">
        <f t="shared" ca="1" si="17"/>
        <v/>
      </c>
      <c r="U537" s="2" t="str" cm="1">
        <f t="array" ref="U537">IF(N537&lt;&gt;"yes", "", IFERROR((T537 - INDEX(T$2:T537, MATCH(TRUE, INDEX((T$2:T537&lt;&gt;"")*(N$2:N537="yes"), 0), 0))) * 1440 / COUNTIF(N$2:N537, "yes"), ""))</f>
        <v/>
      </c>
    </row>
    <row r="538" spans="18:21" x14ac:dyDescent="0.25">
      <c r="R538" s="2" t="str">
        <f t="shared" si="18"/>
        <v/>
      </c>
      <c r="S538" s="2" t="str" cm="1">
        <f t="array" aca="1" ref="S538" ca="1">IF(T538&lt;&gt;"", IFERROR((T538 - MAX(_xlfn._xlws.FILTER(T$2:T537, N$2:N537 = "yes"))) * 24 * 60, ""), "")</f>
        <v/>
      </c>
      <c r="T538" s="2" t="str">
        <f t="shared" ca="1" si="17"/>
        <v/>
      </c>
      <c r="U538" s="2" t="str" cm="1">
        <f t="array" ref="U538">IF(N538&lt;&gt;"yes", "", IFERROR((T538 - INDEX(T$2:T538, MATCH(TRUE, INDEX((T$2:T538&lt;&gt;"")*(N$2:N538="yes"), 0), 0))) * 1440 / COUNTIF(N$2:N538, "yes"), ""))</f>
        <v/>
      </c>
    </row>
    <row r="539" spans="18:21" x14ac:dyDescent="0.25">
      <c r="R539" s="2" t="str">
        <f t="shared" si="18"/>
        <v/>
      </c>
      <c r="S539" s="2" t="str" cm="1">
        <f t="array" aca="1" ref="S539" ca="1">IF(T539&lt;&gt;"", IFERROR((T539 - MAX(_xlfn._xlws.FILTER(T$2:T538, N$2:N538 = "yes"))) * 24 * 60, ""), "")</f>
        <v/>
      </c>
      <c r="T539" s="2" t="str">
        <f t="shared" ca="1" si="17"/>
        <v/>
      </c>
      <c r="U539" s="2" t="str" cm="1">
        <f t="array" ref="U539">IF(N539&lt;&gt;"yes", "", IFERROR((T539 - INDEX(T$2:T539, MATCH(TRUE, INDEX((T$2:T539&lt;&gt;"")*(N$2:N539="yes"), 0), 0))) * 1440 / COUNTIF(N$2:N539, "yes"), ""))</f>
        <v/>
      </c>
    </row>
    <row r="540" spans="18:21" x14ac:dyDescent="0.25">
      <c r="R540" s="2" t="str">
        <f t="shared" si="18"/>
        <v/>
      </c>
      <c r="S540" s="2" t="str" cm="1">
        <f t="array" aca="1" ref="S540" ca="1">IF(T540&lt;&gt;"", IFERROR((T540 - MAX(_xlfn._xlws.FILTER(T$2:T539, N$2:N539 = "yes"))) * 24 * 60, ""), "")</f>
        <v/>
      </c>
      <c r="T540" s="2" t="str">
        <f t="shared" ca="1" si="17"/>
        <v/>
      </c>
      <c r="U540" s="2" t="str" cm="1">
        <f t="array" ref="U540">IF(N540&lt;&gt;"yes", "", IFERROR((T540 - INDEX(T$2:T540, MATCH(TRUE, INDEX((T$2:T540&lt;&gt;"")*(N$2:N540="yes"), 0), 0))) * 1440 / COUNTIF(N$2:N540, "yes"), ""))</f>
        <v/>
      </c>
    </row>
    <row r="541" spans="18:21" x14ac:dyDescent="0.25">
      <c r="R541" s="2" t="str">
        <f t="shared" si="18"/>
        <v/>
      </c>
      <c r="S541" s="2" t="str" cm="1">
        <f t="array" aca="1" ref="S541" ca="1">IF(T541&lt;&gt;"", IFERROR((T541 - MAX(_xlfn._xlws.FILTER(T$2:T540, N$2:N540 = "yes"))) * 24 * 60, ""), "")</f>
        <v/>
      </c>
      <c r="T541" s="2" t="str">
        <f t="shared" ca="1" si="17"/>
        <v/>
      </c>
      <c r="U541" s="2" t="str" cm="1">
        <f t="array" ref="U541">IF(N541&lt;&gt;"yes", "", IFERROR((T541 - INDEX(T$2:T541, MATCH(TRUE, INDEX((T$2:T541&lt;&gt;"")*(N$2:N541="yes"), 0), 0))) * 1440 / COUNTIF(N$2:N541, "yes"), ""))</f>
        <v/>
      </c>
    </row>
    <row r="542" spans="18:21" x14ac:dyDescent="0.25">
      <c r="R542" s="2" t="str">
        <f t="shared" si="18"/>
        <v/>
      </c>
      <c r="S542" s="2" t="str" cm="1">
        <f t="array" aca="1" ref="S542" ca="1">IF(T542&lt;&gt;"", IFERROR((T542 - MAX(_xlfn._xlws.FILTER(T$2:T541, N$2:N541 = "yes"))) * 24 * 60, ""), "")</f>
        <v/>
      </c>
      <c r="T542" s="2" t="str">
        <f t="shared" ca="1" si="17"/>
        <v/>
      </c>
      <c r="U542" s="2" t="str" cm="1">
        <f t="array" ref="U542">IF(N542&lt;&gt;"yes", "", IFERROR((T542 - INDEX(T$2:T542, MATCH(TRUE, INDEX((T$2:T542&lt;&gt;"")*(N$2:N542="yes"), 0), 0))) * 1440 / COUNTIF(N$2:N542, "yes"), ""))</f>
        <v/>
      </c>
    </row>
    <row r="543" spans="18:21" x14ac:dyDescent="0.25">
      <c r="R543" s="2" t="str">
        <f t="shared" si="18"/>
        <v/>
      </c>
      <c r="S543" s="2" t="str" cm="1">
        <f t="array" aca="1" ref="S543" ca="1">IF(T543&lt;&gt;"", IFERROR((T543 - MAX(_xlfn._xlws.FILTER(T$2:T542, N$2:N542 = "yes"))) * 24 * 60, ""), "")</f>
        <v/>
      </c>
      <c r="T543" s="2" t="str">
        <f t="shared" ca="1" si="17"/>
        <v/>
      </c>
      <c r="U543" s="2" t="str" cm="1">
        <f t="array" ref="U543">IF(N543&lt;&gt;"yes", "", IFERROR((T543 - INDEX(T$2:T543, MATCH(TRUE, INDEX((T$2:T543&lt;&gt;"")*(N$2:N543="yes"), 0), 0))) * 1440 / COUNTIF(N$2:N543, "yes"), ""))</f>
        <v/>
      </c>
    </row>
    <row r="544" spans="18:21" x14ac:dyDescent="0.25">
      <c r="R544" s="2" t="str">
        <f t="shared" si="18"/>
        <v/>
      </c>
      <c r="S544" s="2" t="str" cm="1">
        <f t="array" aca="1" ref="S544" ca="1">IF(T544&lt;&gt;"", IFERROR((T544 - MAX(_xlfn._xlws.FILTER(T$2:T543, N$2:N543 = "yes"))) * 24 * 60, ""), "")</f>
        <v/>
      </c>
      <c r="T544" s="2" t="str">
        <f t="shared" ca="1" si="17"/>
        <v/>
      </c>
      <c r="U544" s="2" t="str" cm="1">
        <f t="array" ref="U544">IF(N544&lt;&gt;"yes", "", IFERROR((T544 - INDEX(T$2:T544, MATCH(TRUE, INDEX((T$2:T544&lt;&gt;"")*(N$2:N544="yes"), 0), 0))) * 1440 / COUNTIF(N$2:N544, "yes"), ""))</f>
        <v/>
      </c>
    </row>
    <row r="545" spans="18:21" x14ac:dyDescent="0.25">
      <c r="R545" s="2" t="str">
        <f t="shared" si="18"/>
        <v/>
      </c>
      <c r="S545" s="2" t="str" cm="1">
        <f t="array" aca="1" ref="S545" ca="1">IF(T545&lt;&gt;"", IFERROR((T545 - MAX(_xlfn._xlws.FILTER(T$2:T544, N$2:N544 = "yes"))) * 24 * 60, ""), "")</f>
        <v/>
      </c>
      <c r="T545" s="2" t="str">
        <f t="shared" ca="1" si="17"/>
        <v/>
      </c>
      <c r="U545" s="2" t="str" cm="1">
        <f t="array" ref="U545">IF(N545&lt;&gt;"yes", "", IFERROR((T545 - INDEX(T$2:T545, MATCH(TRUE, INDEX((T$2:T545&lt;&gt;"")*(N$2:N545="yes"), 0), 0))) * 1440 / COUNTIF(N$2:N545, "yes"), ""))</f>
        <v/>
      </c>
    </row>
    <row r="546" spans="18:21" x14ac:dyDescent="0.25">
      <c r="R546" s="2" t="str">
        <f t="shared" si="18"/>
        <v/>
      </c>
      <c r="S546" s="2" t="str" cm="1">
        <f t="array" aca="1" ref="S546" ca="1">IF(T546&lt;&gt;"", IFERROR((T546 - MAX(_xlfn._xlws.FILTER(T$2:T545, N$2:N545 = "yes"))) * 24 * 60, ""), "")</f>
        <v/>
      </c>
      <c r="T546" s="2" t="str">
        <f t="shared" ca="1" si="17"/>
        <v/>
      </c>
      <c r="U546" s="2" t="str" cm="1">
        <f t="array" ref="U546">IF(N546&lt;&gt;"yes", "", IFERROR((T546 - INDEX(T$2:T546, MATCH(TRUE, INDEX((T$2:T546&lt;&gt;"")*(N$2:N546="yes"), 0), 0))) * 1440 / COUNTIF(N$2:N546, "yes"), ""))</f>
        <v/>
      </c>
    </row>
    <row r="547" spans="18:21" x14ac:dyDescent="0.25">
      <c r="R547" s="2" t="str">
        <f t="shared" si="18"/>
        <v/>
      </c>
      <c r="S547" s="2" t="str" cm="1">
        <f t="array" aca="1" ref="S547" ca="1">IF(T547&lt;&gt;"", IFERROR((T547 - MAX(_xlfn._xlws.FILTER(T$2:T546, N$2:N546 = "yes"))) * 24 * 60, ""), "")</f>
        <v/>
      </c>
      <c r="T547" s="2" t="str">
        <f t="shared" ca="1" si="17"/>
        <v/>
      </c>
      <c r="U547" s="2" t="str" cm="1">
        <f t="array" ref="U547">IF(N547&lt;&gt;"yes", "", IFERROR((T547 - INDEX(T$2:T547, MATCH(TRUE, INDEX((T$2:T547&lt;&gt;"")*(N$2:N547="yes"), 0), 0))) * 1440 / COUNTIF(N$2:N547, "yes"), ""))</f>
        <v/>
      </c>
    </row>
    <row r="548" spans="18:21" x14ac:dyDescent="0.25">
      <c r="R548" s="2" t="str">
        <f t="shared" si="18"/>
        <v/>
      </c>
      <c r="S548" s="2" t="str" cm="1">
        <f t="array" aca="1" ref="S548" ca="1">IF(T548&lt;&gt;"", IFERROR((T548 - MAX(_xlfn._xlws.FILTER(T$2:T547, N$2:N547 = "yes"))) * 24 * 60, ""), "")</f>
        <v/>
      </c>
      <c r="T548" s="2" t="str">
        <f t="shared" ca="1" si="17"/>
        <v/>
      </c>
      <c r="U548" s="2" t="str" cm="1">
        <f t="array" ref="U548">IF(N548&lt;&gt;"yes", "", IFERROR((T548 - INDEX(T$2:T548, MATCH(TRUE, INDEX((T$2:T548&lt;&gt;"")*(N$2:N548="yes"), 0), 0))) * 1440 / COUNTIF(N$2:N548, "yes"), ""))</f>
        <v/>
      </c>
    </row>
    <row r="549" spans="18:21" x14ac:dyDescent="0.25">
      <c r="R549" s="2" t="str">
        <f t="shared" si="18"/>
        <v/>
      </c>
      <c r="S549" s="2" t="str" cm="1">
        <f t="array" aca="1" ref="S549" ca="1">IF(T549&lt;&gt;"", IFERROR((T549 - MAX(_xlfn._xlws.FILTER(T$2:T548, N$2:N548 = "yes"))) * 24 * 60, ""), "")</f>
        <v/>
      </c>
      <c r="T549" s="2" t="str">
        <f t="shared" ca="1" si="17"/>
        <v/>
      </c>
      <c r="U549" s="2" t="str" cm="1">
        <f t="array" ref="U549">IF(N549&lt;&gt;"yes", "", IFERROR((T549 - INDEX(T$2:T549, MATCH(TRUE, INDEX((T$2:T549&lt;&gt;"")*(N$2:N549="yes"), 0), 0))) * 1440 / COUNTIF(N$2:N549, "yes"), ""))</f>
        <v/>
      </c>
    </row>
    <row r="550" spans="18:21" x14ac:dyDescent="0.25">
      <c r="R550" s="2" t="str">
        <f t="shared" si="18"/>
        <v/>
      </c>
      <c r="S550" s="2" t="str" cm="1">
        <f t="array" aca="1" ref="S550" ca="1">IF(T550&lt;&gt;"", IFERROR((T550 - MAX(_xlfn._xlws.FILTER(T$2:T549, N$2:N549 = "yes"))) * 24 * 60, ""), "")</f>
        <v/>
      </c>
      <c r="T550" s="2" t="str">
        <f t="shared" ca="1" si="17"/>
        <v/>
      </c>
      <c r="U550" s="2" t="str" cm="1">
        <f t="array" ref="U550">IF(N550&lt;&gt;"yes", "", IFERROR((T550 - INDEX(T$2:T550, MATCH(TRUE, INDEX((T$2:T550&lt;&gt;"")*(N$2:N550="yes"), 0), 0))) * 1440 / COUNTIF(N$2:N550, "yes"), ""))</f>
        <v/>
      </c>
    </row>
    <row r="551" spans="18:21" x14ac:dyDescent="0.25">
      <c r="R551" s="2" t="str">
        <f t="shared" si="18"/>
        <v/>
      </c>
      <c r="S551" s="2" t="str" cm="1">
        <f t="array" aca="1" ref="S551" ca="1">IF(T551&lt;&gt;"", IFERROR((T551 - MAX(_xlfn._xlws.FILTER(T$2:T550, N$2:N550 = "yes"))) * 24 * 60, ""), "")</f>
        <v/>
      </c>
      <c r="T551" s="2" t="str">
        <f t="shared" ca="1" si="17"/>
        <v/>
      </c>
      <c r="U551" s="2" t="str" cm="1">
        <f t="array" ref="U551">IF(N551&lt;&gt;"yes", "", IFERROR((T551 - INDEX(T$2:T551, MATCH(TRUE, INDEX((T$2:T551&lt;&gt;"")*(N$2:N551="yes"), 0), 0))) * 1440 / COUNTIF(N$2:N551, "yes"), ""))</f>
        <v/>
      </c>
    </row>
    <row r="552" spans="18:21" x14ac:dyDescent="0.25">
      <c r="R552" s="2" t="str">
        <f t="shared" si="18"/>
        <v/>
      </c>
      <c r="S552" s="2" t="str" cm="1">
        <f t="array" aca="1" ref="S552" ca="1">IF(T552&lt;&gt;"", IFERROR((T552 - MAX(_xlfn._xlws.FILTER(T$2:T551, N$2:N551 = "yes"))) * 24 * 60, ""), "")</f>
        <v/>
      </c>
      <c r="T552" s="2" t="str">
        <f t="shared" ca="1" si="17"/>
        <v/>
      </c>
      <c r="U552" s="2" t="str" cm="1">
        <f t="array" ref="U552">IF(N552&lt;&gt;"yes", "", IFERROR((T552 - INDEX(T$2:T552, MATCH(TRUE, INDEX((T$2:T552&lt;&gt;"")*(N$2:N552="yes"), 0), 0))) * 1440 / COUNTIF(N$2:N552, "yes"), ""))</f>
        <v/>
      </c>
    </row>
    <row r="553" spans="18:21" x14ac:dyDescent="0.25">
      <c r="R553" s="2" t="str">
        <f t="shared" si="18"/>
        <v/>
      </c>
      <c r="S553" s="2" t="str" cm="1">
        <f t="array" aca="1" ref="S553" ca="1">IF(T553&lt;&gt;"", IFERROR((T553 - MAX(_xlfn._xlws.FILTER(T$2:T552, N$2:N552 = "yes"))) * 24 * 60, ""), "")</f>
        <v/>
      </c>
      <c r="T553" s="2" t="str">
        <f t="shared" ca="1" si="17"/>
        <v/>
      </c>
      <c r="U553" s="2" t="str" cm="1">
        <f t="array" ref="U553">IF(N553&lt;&gt;"yes", "", IFERROR((T553 - INDEX(T$2:T553, MATCH(TRUE, INDEX((T$2:T553&lt;&gt;"")*(N$2:N553="yes"), 0), 0))) * 1440 / COUNTIF(N$2:N553, "yes"), ""))</f>
        <v/>
      </c>
    </row>
    <row r="554" spans="18:21" x14ac:dyDescent="0.25">
      <c r="R554" s="2" t="str">
        <f t="shared" si="18"/>
        <v/>
      </c>
      <c r="S554" s="2" t="str" cm="1">
        <f t="array" aca="1" ref="S554" ca="1">IF(T554&lt;&gt;"", IFERROR((T554 - MAX(_xlfn._xlws.FILTER(T$2:T553, N$2:N553 = "yes"))) * 24 * 60, ""), "")</f>
        <v/>
      </c>
      <c r="T554" s="2" t="str">
        <f t="shared" ca="1" si="17"/>
        <v/>
      </c>
      <c r="U554" s="2" t="str" cm="1">
        <f t="array" ref="U554">IF(N554&lt;&gt;"yes", "", IFERROR((T554 - INDEX(T$2:T554, MATCH(TRUE, INDEX((T$2:T554&lt;&gt;"")*(N$2:N554="yes"), 0), 0))) * 1440 / COUNTIF(N$2:N554, "yes"), ""))</f>
        <v/>
      </c>
    </row>
    <row r="555" spans="18:21" x14ac:dyDescent="0.25">
      <c r="R555" s="2" t="str">
        <f t="shared" si="18"/>
        <v/>
      </c>
      <c r="S555" s="2" t="str" cm="1">
        <f t="array" aca="1" ref="S555" ca="1">IF(T555&lt;&gt;"", IFERROR((T555 - MAX(_xlfn._xlws.FILTER(T$2:T554, N$2:N554 = "yes"))) * 24 * 60, ""), "")</f>
        <v/>
      </c>
      <c r="T555" s="2" t="str">
        <f t="shared" ca="1" si="17"/>
        <v/>
      </c>
      <c r="U555" s="2" t="str" cm="1">
        <f t="array" ref="U555">IF(N555&lt;&gt;"yes", "", IFERROR((T555 - INDEX(T$2:T555, MATCH(TRUE, INDEX((T$2:T555&lt;&gt;"")*(N$2:N555="yes"), 0), 0))) * 1440 / COUNTIF(N$2:N555, "yes"), ""))</f>
        <v/>
      </c>
    </row>
    <row r="556" spans="18:21" x14ac:dyDescent="0.25">
      <c r="R556" s="2" t="str">
        <f t="shared" si="18"/>
        <v/>
      </c>
      <c r="S556" s="2" t="str" cm="1">
        <f t="array" aca="1" ref="S556" ca="1">IF(T556&lt;&gt;"", IFERROR((T556 - MAX(_xlfn._xlws.FILTER(T$2:T555, N$2:N555 = "yes"))) * 24 * 60, ""), "")</f>
        <v/>
      </c>
      <c r="T556" s="2" t="str">
        <f t="shared" ca="1" si="17"/>
        <v/>
      </c>
      <c r="U556" s="2" t="str" cm="1">
        <f t="array" ref="U556">IF(N556&lt;&gt;"yes", "", IFERROR((T556 - INDEX(T$2:T556, MATCH(TRUE, INDEX((T$2:T556&lt;&gt;"")*(N$2:N556="yes"), 0), 0))) * 1440 / COUNTIF(N$2:N556, "yes"), ""))</f>
        <v/>
      </c>
    </row>
    <row r="557" spans="18:21" x14ac:dyDescent="0.25">
      <c r="R557" s="2" t="str">
        <f t="shared" si="18"/>
        <v/>
      </c>
      <c r="S557" s="2" t="str" cm="1">
        <f t="array" aca="1" ref="S557" ca="1">IF(T557&lt;&gt;"", IFERROR((T557 - MAX(_xlfn._xlws.FILTER(T$2:T556, N$2:N556 = "yes"))) * 24 * 60, ""), "")</f>
        <v/>
      </c>
      <c r="T557" s="2" t="str">
        <f t="shared" ca="1" si="17"/>
        <v/>
      </c>
      <c r="U557" s="2" t="str" cm="1">
        <f t="array" ref="U557">IF(N557&lt;&gt;"yes", "", IFERROR((T557 - INDEX(T$2:T557, MATCH(TRUE, INDEX((T$2:T557&lt;&gt;"")*(N$2:N557="yes"), 0), 0))) * 1440 / COUNTIF(N$2:N557, "yes"), ""))</f>
        <v/>
      </c>
    </row>
    <row r="558" spans="18:21" x14ac:dyDescent="0.25">
      <c r="R558" s="2" t="str">
        <f t="shared" si="18"/>
        <v/>
      </c>
      <c r="S558" s="2" t="str" cm="1">
        <f t="array" aca="1" ref="S558" ca="1">IF(T558&lt;&gt;"", IFERROR((T558 - MAX(_xlfn._xlws.FILTER(T$2:T557, N$2:N557 = "yes"))) * 24 * 60, ""), "")</f>
        <v/>
      </c>
      <c r="T558" s="2" t="str">
        <f t="shared" ca="1" si="17"/>
        <v/>
      </c>
      <c r="U558" s="2" t="str" cm="1">
        <f t="array" ref="U558">IF(N558&lt;&gt;"yes", "", IFERROR((T558 - INDEX(T$2:T558, MATCH(TRUE, INDEX((T$2:T558&lt;&gt;"")*(N$2:N558="yes"), 0), 0))) * 1440 / COUNTIF(N$2:N558, "yes"), ""))</f>
        <v/>
      </c>
    </row>
    <row r="559" spans="18:21" x14ac:dyDescent="0.25">
      <c r="R559" s="2" t="str">
        <f t="shared" si="18"/>
        <v/>
      </c>
      <c r="S559" s="2" t="str" cm="1">
        <f t="array" aca="1" ref="S559" ca="1">IF(T559&lt;&gt;"", IFERROR((T559 - MAX(_xlfn._xlws.FILTER(T$2:T558, N$2:N558 = "yes"))) * 24 * 60, ""), "")</f>
        <v/>
      </c>
      <c r="T559" s="2" t="str">
        <f t="shared" ca="1" si="17"/>
        <v/>
      </c>
      <c r="U559" s="2" t="str" cm="1">
        <f t="array" ref="U559">IF(N559&lt;&gt;"yes", "", IFERROR((T559 - INDEX(T$2:T559, MATCH(TRUE, INDEX((T$2:T559&lt;&gt;"")*(N$2:N559="yes"), 0), 0))) * 1440 / COUNTIF(N$2:N559, "yes"), ""))</f>
        <v/>
      </c>
    </row>
    <row r="560" spans="18:21" x14ac:dyDescent="0.25">
      <c r="R560" s="2" t="str">
        <f t="shared" si="18"/>
        <v/>
      </c>
      <c r="S560" s="2" t="str" cm="1">
        <f t="array" aca="1" ref="S560" ca="1">IF(T560&lt;&gt;"", IFERROR((T560 - MAX(_xlfn._xlws.FILTER(T$2:T559, N$2:N559 = "yes"))) * 24 * 60, ""), "")</f>
        <v/>
      </c>
      <c r="T560" s="2" t="str">
        <f t="shared" ca="1" si="17"/>
        <v/>
      </c>
      <c r="U560" s="2" t="str" cm="1">
        <f t="array" ref="U560">IF(N560&lt;&gt;"yes", "", IFERROR((T560 - INDEX(T$2:T560, MATCH(TRUE, INDEX((T$2:T560&lt;&gt;"")*(N$2:N560="yes"), 0), 0))) * 1440 / COUNTIF(N$2:N560, "yes"), ""))</f>
        <v/>
      </c>
    </row>
    <row r="561" spans="18:21" x14ac:dyDescent="0.25">
      <c r="R561" s="2" t="str">
        <f t="shared" si="18"/>
        <v/>
      </c>
      <c r="S561" s="2" t="str" cm="1">
        <f t="array" aca="1" ref="S561" ca="1">IF(T561&lt;&gt;"", IFERROR((T561 - MAX(_xlfn._xlws.FILTER(T$2:T560, N$2:N560 = "yes"))) * 24 * 60, ""), "")</f>
        <v/>
      </c>
      <c r="T561" s="2" t="str">
        <f t="shared" ca="1" si="17"/>
        <v/>
      </c>
      <c r="U561" s="2" t="str" cm="1">
        <f t="array" ref="U561">IF(N561&lt;&gt;"yes", "", IFERROR((T561 - INDEX(T$2:T561, MATCH(TRUE, INDEX((T$2:T561&lt;&gt;"")*(N$2:N561="yes"), 0), 0))) * 1440 / COUNTIF(N$2:N561, "yes"), ""))</f>
        <v/>
      </c>
    </row>
    <row r="562" spans="18:21" x14ac:dyDescent="0.25">
      <c r="R562" s="2" t="str">
        <f t="shared" si="18"/>
        <v/>
      </c>
      <c r="S562" s="2" t="str" cm="1">
        <f t="array" aca="1" ref="S562" ca="1">IF(T562&lt;&gt;"", IFERROR((T562 - MAX(_xlfn._xlws.FILTER(T$2:T561, N$2:N561 = "yes"))) * 24 * 60, ""), "")</f>
        <v/>
      </c>
      <c r="T562" s="2" t="str">
        <f t="shared" ca="1" si="17"/>
        <v/>
      </c>
      <c r="U562" s="2" t="str" cm="1">
        <f t="array" ref="U562">IF(N562&lt;&gt;"yes", "", IFERROR((T562 - INDEX(T$2:T562, MATCH(TRUE, INDEX((T$2:T562&lt;&gt;"")*(N$2:N562="yes"), 0), 0))) * 1440 / COUNTIF(N$2:N562, "yes"), ""))</f>
        <v/>
      </c>
    </row>
    <row r="563" spans="18:21" x14ac:dyDescent="0.25">
      <c r="R563" s="2" t="str">
        <f t="shared" si="18"/>
        <v/>
      </c>
      <c r="S563" s="2" t="str" cm="1">
        <f t="array" aca="1" ref="S563" ca="1">IF(T563&lt;&gt;"", IFERROR((T563 - MAX(_xlfn._xlws.FILTER(T$2:T562, N$2:N562 = "yes"))) * 24 * 60, ""), "")</f>
        <v/>
      </c>
      <c r="T563" s="2" t="str">
        <f t="shared" ca="1" si="17"/>
        <v/>
      </c>
      <c r="U563" s="2" t="str" cm="1">
        <f t="array" ref="U563">IF(N563&lt;&gt;"yes", "", IFERROR((T563 - INDEX(T$2:T563, MATCH(TRUE, INDEX((T$2:T563&lt;&gt;"")*(N$2:N563="yes"), 0), 0))) * 1440 / COUNTIF(N$2:N563, "yes"), ""))</f>
        <v/>
      </c>
    </row>
    <row r="564" spans="18:21" x14ac:dyDescent="0.25">
      <c r="R564" s="2" t="str">
        <f t="shared" si="18"/>
        <v/>
      </c>
      <c r="S564" s="2" t="str" cm="1">
        <f t="array" aca="1" ref="S564" ca="1">IF(T564&lt;&gt;"", IFERROR((T564 - MAX(_xlfn._xlws.FILTER(T$2:T563, N$2:N563 = "yes"))) * 24 * 60, ""), "")</f>
        <v/>
      </c>
      <c r="T564" s="2" t="str">
        <f t="shared" ca="1" si="17"/>
        <v/>
      </c>
      <c r="U564" s="2" t="str" cm="1">
        <f t="array" ref="U564">IF(N564&lt;&gt;"yes", "", IFERROR((T564 - INDEX(T$2:T564, MATCH(TRUE, INDEX((T$2:T564&lt;&gt;"")*(N$2:N564="yes"), 0), 0))) * 1440 / COUNTIF(N$2:N564, "yes"), ""))</f>
        <v/>
      </c>
    </row>
    <row r="565" spans="18:21" x14ac:dyDescent="0.25">
      <c r="R565" s="2" t="str">
        <f t="shared" si="18"/>
        <v/>
      </c>
      <c r="S565" s="2" t="str" cm="1">
        <f t="array" aca="1" ref="S565" ca="1">IF(T565&lt;&gt;"", IFERROR((T565 - MAX(_xlfn._xlws.FILTER(T$2:T564, N$2:N564 = "yes"))) * 24 * 60, ""), "")</f>
        <v/>
      </c>
      <c r="T565" s="2" t="str">
        <f t="shared" ca="1" si="17"/>
        <v/>
      </c>
      <c r="U565" s="2" t="str" cm="1">
        <f t="array" ref="U565">IF(N565&lt;&gt;"yes", "", IFERROR((T565 - INDEX(T$2:T565, MATCH(TRUE, INDEX((T$2:T565&lt;&gt;"")*(N$2:N565="yes"), 0), 0))) * 1440 / COUNTIF(N$2:N565, "yes"), ""))</f>
        <v/>
      </c>
    </row>
    <row r="566" spans="18:21" x14ac:dyDescent="0.25">
      <c r="R566" s="2" t="str">
        <f t="shared" si="18"/>
        <v/>
      </c>
      <c r="S566" s="2" t="str" cm="1">
        <f t="array" aca="1" ref="S566" ca="1">IF(T566&lt;&gt;"", IFERROR((T566 - MAX(_xlfn._xlws.FILTER(T$2:T565, N$2:N565 = "yes"))) * 24 * 60, ""), "")</f>
        <v/>
      </c>
      <c r="T566" s="2" t="str">
        <f t="shared" ca="1" si="17"/>
        <v/>
      </c>
      <c r="U566" s="2" t="str" cm="1">
        <f t="array" ref="U566">IF(N566&lt;&gt;"yes", "", IFERROR((T566 - INDEX(T$2:T566, MATCH(TRUE, INDEX((T$2:T566&lt;&gt;"")*(N$2:N566="yes"), 0), 0))) * 1440 / COUNTIF(N$2:N566, "yes"), ""))</f>
        <v/>
      </c>
    </row>
    <row r="567" spans="18:21" x14ac:dyDescent="0.25">
      <c r="R567" s="2" t="str">
        <f t="shared" si="18"/>
        <v/>
      </c>
      <c r="S567" s="2" t="str" cm="1">
        <f t="array" aca="1" ref="S567" ca="1">IF(T567&lt;&gt;"", IFERROR((T567 - MAX(_xlfn._xlws.FILTER(T$2:T566, N$2:N566 = "yes"))) * 24 * 60, ""), "")</f>
        <v/>
      </c>
      <c r="T567" s="2" t="str">
        <f t="shared" ca="1" si="17"/>
        <v/>
      </c>
      <c r="U567" s="2" t="str" cm="1">
        <f t="array" ref="U567">IF(N567&lt;&gt;"yes", "", IFERROR((T567 - INDEX(T$2:T567, MATCH(TRUE, INDEX((T$2:T567&lt;&gt;"")*(N$2:N567="yes"), 0), 0))) * 1440 / COUNTIF(N$2:N567, "yes"), ""))</f>
        <v/>
      </c>
    </row>
    <row r="568" spans="18:21" x14ac:dyDescent="0.25">
      <c r="R568" s="2" t="str">
        <f t="shared" si="18"/>
        <v/>
      </c>
      <c r="S568" s="2" t="str" cm="1">
        <f t="array" aca="1" ref="S568" ca="1">IF(T568&lt;&gt;"", IFERROR((T568 - MAX(_xlfn._xlws.FILTER(T$2:T567, N$2:N567 = "yes"))) * 24 * 60, ""), "")</f>
        <v/>
      </c>
      <c r="T568" s="2" t="str">
        <f t="shared" ca="1" si="17"/>
        <v/>
      </c>
      <c r="U568" s="2" t="str" cm="1">
        <f t="array" ref="U568">IF(N568&lt;&gt;"yes", "", IFERROR((T568 - INDEX(T$2:T568, MATCH(TRUE, INDEX((T$2:T568&lt;&gt;"")*(N$2:N568="yes"), 0), 0))) * 1440 / COUNTIF(N$2:N568, "yes"), ""))</f>
        <v/>
      </c>
    </row>
    <row r="569" spans="18:21" x14ac:dyDescent="0.25">
      <c r="R569" s="2" t="str">
        <f t="shared" si="18"/>
        <v/>
      </c>
      <c r="S569" s="2" t="str" cm="1">
        <f t="array" aca="1" ref="S569" ca="1">IF(T569&lt;&gt;"", IFERROR((T569 - MAX(_xlfn._xlws.FILTER(T$2:T568, N$2:N568 = "yes"))) * 24 * 60, ""), "")</f>
        <v/>
      </c>
      <c r="T569" s="2" t="str">
        <f t="shared" ca="1" si="17"/>
        <v/>
      </c>
      <c r="U569" s="2" t="str" cm="1">
        <f t="array" ref="U569">IF(N569&lt;&gt;"yes", "", IFERROR((T569 - INDEX(T$2:T569, MATCH(TRUE, INDEX((T$2:T569&lt;&gt;"")*(N$2:N569="yes"), 0), 0))) * 1440 / COUNTIF(N$2:N569, "yes"), ""))</f>
        <v/>
      </c>
    </row>
    <row r="570" spans="18:21" x14ac:dyDescent="0.25">
      <c r="R570" s="2" t="str">
        <f t="shared" si="18"/>
        <v/>
      </c>
      <c r="S570" s="2" t="str" cm="1">
        <f t="array" aca="1" ref="S570" ca="1">IF(T570&lt;&gt;"", IFERROR((T570 - MAX(_xlfn._xlws.FILTER(T$2:T569, N$2:N569 = "yes"))) * 24 * 60, ""), "")</f>
        <v/>
      </c>
      <c r="T570" s="2" t="str">
        <f t="shared" ca="1" si="17"/>
        <v/>
      </c>
      <c r="U570" s="2" t="str" cm="1">
        <f t="array" ref="U570">IF(N570&lt;&gt;"yes", "", IFERROR((T570 - INDEX(T$2:T570, MATCH(TRUE, INDEX((T$2:T570&lt;&gt;"")*(N$2:N570="yes"), 0), 0))) * 1440 / COUNTIF(N$2:N570, "yes"), ""))</f>
        <v/>
      </c>
    </row>
    <row r="571" spans="18:21" x14ac:dyDescent="0.25">
      <c r="R571" s="2" t="str">
        <f t="shared" si="18"/>
        <v/>
      </c>
      <c r="S571" s="2" t="str" cm="1">
        <f t="array" aca="1" ref="S571" ca="1">IF(T571&lt;&gt;"", IFERROR((T571 - MAX(_xlfn._xlws.FILTER(T$2:T570, N$2:N570 = "yes"))) * 24 * 60, ""), "")</f>
        <v/>
      </c>
      <c r="T571" s="2" t="str">
        <f t="shared" ca="1" si="17"/>
        <v/>
      </c>
      <c r="U571" s="2" t="str" cm="1">
        <f t="array" ref="U571">IF(N571&lt;&gt;"yes", "", IFERROR((T571 - INDEX(T$2:T571, MATCH(TRUE, INDEX((T$2:T571&lt;&gt;"")*(N$2:N571="yes"), 0), 0))) * 1440 / COUNTIF(N$2:N571, "yes"), ""))</f>
        <v/>
      </c>
    </row>
    <row r="572" spans="18:21" x14ac:dyDescent="0.25">
      <c r="R572" s="2" t="str">
        <f t="shared" si="18"/>
        <v/>
      </c>
      <c r="S572" s="2" t="str" cm="1">
        <f t="array" aca="1" ref="S572" ca="1">IF(T572&lt;&gt;"", IFERROR((T572 - MAX(_xlfn._xlws.FILTER(T$2:T571, N$2:N571 = "yes"))) * 24 * 60, ""), "")</f>
        <v/>
      </c>
      <c r="T572" s="2" t="str">
        <f t="shared" ca="1" si="17"/>
        <v/>
      </c>
      <c r="U572" s="2" t="str" cm="1">
        <f t="array" ref="U572">IF(N572&lt;&gt;"yes", "", IFERROR((T572 - INDEX(T$2:T572, MATCH(TRUE, INDEX((T$2:T572&lt;&gt;"")*(N$2:N572="yes"), 0), 0))) * 1440 / COUNTIF(N$2:N572, "yes"), ""))</f>
        <v/>
      </c>
    </row>
    <row r="573" spans="18:21" x14ac:dyDescent="0.25">
      <c r="R573" s="2" t="str">
        <f t="shared" si="18"/>
        <v/>
      </c>
      <c r="S573" s="2" t="str" cm="1">
        <f t="array" aca="1" ref="S573" ca="1">IF(T573&lt;&gt;"", IFERROR((T573 - MAX(_xlfn._xlws.FILTER(T$2:T572, N$2:N572 = "yes"))) * 24 * 60, ""), "")</f>
        <v/>
      </c>
      <c r="T573" s="2" t="str">
        <f t="shared" ca="1" si="17"/>
        <v/>
      </c>
      <c r="U573" s="2" t="str" cm="1">
        <f t="array" ref="U573">IF(N573&lt;&gt;"yes", "", IFERROR((T573 - INDEX(T$2:T573, MATCH(TRUE, INDEX((T$2:T573&lt;&gt;"")*(N$2:N573="yes"), 0), 0))) * 1440 / COUNTIF(N$2:N573, "yes"), ""))</f>
        <v/>
      </c>
    </row>
    <row r="574" spans="18:21" x14ac:dyDescent="0.25">
      <c r="R574" s="2" t="str">
        <f t="shared" si="18"/>
        <v/>
      </c>
      <c r="S574" s="2" t="str" cm="1">
        <f t="array" aca="1" ref="S574" ca="1">IF(T574&lt;&gt;"", IFERROR((T574 - MAX(_xlfn._xlws.FILTER(T$2:T573, N$2:N573 = "yes"))) * 24 * 60, ""), "")</f>
        <v/>
      </c>
      <c r="T574" s="2" t="str">
        <f t="shared" ca="1" si="17"/>
        <v/>
      </c>
      <c r="U574" s="2" t="str" cm="1">
        <f t="array" ref="U574">IF(N574&lt;&gt;"yes", "", IFERROR((T574 - INDEX(T$2:T574, MATCH(TRUE, INDEX((T$2:T574&lt;&gt;"")*(N$2:N574="yes"), 0), 0))) * 1440 / COUNTIF(N$2:N574, "yes"), ""))</f>
        <v/>
      </c>
    </row>
    <row r="575" spans="18:21" x14ac:dyDescent="0.25">
      <c r="R575" s="2" t="str">
        <f t="shared" si="18"/>
        <v/>
      </c>
      <c r="S575" s="2" t="str" cm="1">
        <f t="array" aca="1" ref="S575" ca="1">IF(T575&lt;&gt;"", IFERROR((T575 - MAX(_xlfn._xlws.FILTER(T$2:T574, N$2:N574 = "yes"))) * 24 * 60, ""), "")</f>
        <v/>
      </c>
      <c r="T575" s="2" t="str">
        <f t="shared" ca="1" si="17"/>
        <v/>
      </c>
      <c r="U575" s="2" t="str" cm="1">
        <f t="array" ref="U575">IF(N575&lt;&gt;"yes", "", IFERROR((T575 - INDEX(T$2:T575, MATCH(TRUE, INDEX((T$2:T575&lt;&gt;"")*(N$2:N575="yes"), 0), 0))) * 1440 / COUNTIF(N$2:N575, "yes"), ""))</f>
        <v/>
      </c>
    </row>
    <row r="576" spans="18:21" x14ac:dyDescent="0.25">
      <c r="R576" s="2" t="str">
        <f t="shared" si="18"/>
        <v/>
      </c>
      <c r="S576" s="2" t="str" cm="1">
        <f t="array" aca="1" ref="S576" ca="1">IF(T576&lt;&gt;"", IFERROR((T576 - MAX(_xlfn._xlws.FILTER(T$2:T575, N$2:N575 = "yes"))) * 24 * 60, ""), "")</f>
        <v/>
      </c>
      <c r="T576" s="2" t="str">
        <f t="shared" ca="1" si="17"/>
        <v/>
      </c>
      <c r="U576" s="2" t="str" cm="1">
        <f t="array" ref="U576">IF(N576&lt;&gt;"yes", "", IFERROR((T576 - INDEX(T$2:T576, MATCH(TRUE, INDEX((T$2:T576&lt;&gt;"")*(N$2:N576="yes"), 0), 0))) * 1440 / COUNTIF(N$2:N576, "yes"), ""))</f>
        <v/>
      </c>
    </row>
    <row r="577" spans="18:21" x14ac:dyDescent="0.25">
      <c r="R577" s="2" t="str">
        <f t="shared" si="18"/>
        <v/>
      </c>
      <c r="S577" s="2" t="str" cm="1">
        <f t="array" aca="1" ref="S577" ca="1">IF(T577&lt;&gt;"", IFERROR((T577 - MAX(_xlfn._xlws.FILTER(T$2:T576, N$2:N576 = "yes"))) * 24 * 60, ""), "")</f>
        <v/>
      </c>
      <c r="T577" s="2" t="str">
        <f t="shared" ca="1" si="17"/>
        <v/>
      </c>
      <c r="U577" s="2" t="str" cm="1">
        <f t="array" ref="U577">IF(N577&lt;&gt;"yes", "", IFERROR((T577 - INDEX(T$2:T577, MATCH(TRUE, INDEX((T$2:T577&lt;&gt;"")*(N$2:N577="yes"), 0), 0))) * 1440 / COUNTIF(N$2:N577, "yes"), ""))</f>
        <v/>
      </c>
    </row>
    <row r="578" spans="18:21" x14ac:dyDescent="0.25">
      <c r="R578" s="2" t="str">
        <f t="shared" si="18"/>
        <v/>
      </c>
      <c r="S578" s="2" t="str" cm="1">
        <f t="array" aca="1" ref="S578" ca="1">IF(T578&lt;&gt;"", IFERROR((T578 - MAX(_xlfn._xlws.FILTER(T$2:T577, N$2:N577 = "yes"))) * 24 * 60, ""), "")</f>
        <v/>
      </c>
      <c r="T578" s="2" t="str">
        <f t="shared" ref="T578:T641" ca="1" si="19">IF(N578="yes", NOW(), "")</f>
        <v/>
      </c>
      <c r="U578" s="2" t="str" cm="1">
        <f t="array" ref="U578">IF(N578&lt;&gt;"yes", "", IFERROR((T578 - INDEX(T$2:T578, MATCH(TRUE, INDEX((T$2:T578&lt;&gt;"")*(N$2:N578="yes"), 0), 0))) * 1440 / COUNTIF(N$2:N578, "yes"), ""))</f>
        <v/>
      </c>
    </row>
    <row r="579" spans="18:21" x14ac:dyDescent="0.25">
      <c r="R579" s="2" t="str">
        <f t="shared" ref="R579:R642" si="20">IF(AND(ISNUMBER(P579), ISNUMBER(Q579)), (Q579 - P579) * 1440, "")</f>
        <v/>
      </c>
      <c r="S579" s="2" t="str" cm="1">
        <f t="array" aca="1" ref="S579" ca="1">IF(T579&lt;&gt;"", IFERROR((T579 - MAX(_xlfn._xlws.FILTER(T$2:T578, N$2:N578 = "yes"))) * 24 * 60, ""), "")</f>
        <v/>
      </c>
      <c r="T579" s="2" t="str">
        <f t="shared" ca="1" si="19"/>
        <v/>
      </c>
      <c r="U579" s="2" t="str" cm="1">
        <f t="array" ref="U579">IF(N579&lt;&gt;"yes", "", IFERROR((T579 - INDEX(T$2:T579, MATCH(TRUE, INDEX((T$2:T579&lt;&gt;"")*(N$2:N579="yes"), 0), 0))) * 1440 / COUNTIF(N$2:N579, "yes"), ""))</f>
        <v/>
      </c>
    </row>
    <row r="580" spans="18:21" x14ac:dyDescent="0.25">
      <c r="R580" s="2" t="str">
        <f t="shared" si="20"/>
        <v/>
      </c>
      <c r="S580" s="2" t="str" cm="1">
        <f t="array" aca="1" ref="S580" ca="1">IF(T580&lt;&gt;"", IFERROR((T580 - MAX(_xlfn._xlws.FILTER(T$2:T579, N$2:N579 = "yes"))) * 24 * 60, ""), "")</f>
        <v/>
      </c>
      <c r="T580" s="2" t="str">
        <f t="shared" ca="1" si="19"/>
        <v/>
      </c>
      <c r="U580" s="2" t="str" cm="1">
        <f t="array" ref="U580">IF(N580&lt;&gt;"yes", "", IFERROR((T580 - INDEX(T$2:T580, MATCH(TRUE, INDEX((T$2:T580&lt;&gt;"")*(N$2:N580="yes"), 0), 0))) * 1440 / COUNTIF(N$2:N580, "yes"), ""))</f>
        <v/>
      </c>
    </row>
    <row r="581" spans="18:21" x14ac:dyDescent="0.25">
      <c r="R581" s="2" t="str">
        <f t="shared" si="20"/>
        <v/>
      </c>
      <c r="S581" s="2" t="str" cm="1">
        <f t="array" aca="1" ref="S581" ca="1">IF(T581&lt;&gt;"", IFERROR((T581 - MAX(_xlfn._xlws.FILTER(T$2:T580, N$2:N580 = "yes"))) * 24 * 60, ""), "")</f>
        <v/>
      </c>
      <c r="T581" s="2" t="str">
        <f t="shared" ca="1" si="19"/>
        <v/>
      </c>
      <c r="U581" s="2" t="str" cm="1">
        <f t="array" ref="U581">IF(N581&lt;&gt;"yes", "", IFERROR((T581 - INDEX(T$2:T581, MATCH(TRUE, INDEX((T$2:T581&lt;&gt;"")*(N$2:N581="yes"), 0), 0))) * 1440 / COUNTIF(N$2:N581, "yes"), ""))</f>
        <v/>
      </c>
    </row>
    <row r="582" spans="18:21" x14ac:dyDescent="0.25">
      <c r="R582" s="2" t="str">
        <f t="shared" si="20"/>
        <v/>
      </c>
      <c r="S582" s="2" t="str" cm="1">
        <f t="array" aca="1" ref="S582" ca="1">IF(T582&lt;&gt;"", IFERROR((T582 - MAX(_xlfn._xlws.FILTER(T$2:T581, N$2:N581 = "yes"))) * 24 * 60, ""), "")</f>
        <v/>
      </c>
      <c r="T582" s="2" t="str">
        <f t="shared" ca="1" si="19"/>
        <v/>
      </c>
      <c r="U582" s="2" t="str" cm="1">
        <f t="array" ref="U582">IF(N582&lt;&gt;"yes", "", IFERROR((T582 - INDEX(T$2:T582, MATCH(TRUE, INDEX((T$2:T582&lt;&gt;"")*(N$2:N582="yes"), 0), 0))) * 1440 / COUNTIF(N$2:N582, "yes"), ""))</f>
        <v/>
      </c>
    </row>
    <row r="583" spans="18:21" x14ac:dyDescent="0.25">
      <c r="R583" s="2" t="str">
        <f t="shared" si="20"/>
        <v/>
      </c>
      <c r="S583" s="2" t="str" cm="1">
        <f t="array" aca="1" ref="S583" ca="1">IF(T583&lt;&gt;"", IFERROR((T583 - MAX(_xlfn._xlws.FILTER(T$2:T582, N$2:N582 = "yes"))) * 24 * 60, ""), "")</f>
        <v/>
      </c>
      <c r="T583" s="2" t="str">
        <f t="shared" ca="1" si="19"/>
        <v/>
      </c>
      <c r="U583" s="2" t="str" cm="1">
        <f t="array" ref="U583">IF(N583&lt;&gt;"yes", "", IFERROR((T583 - INDEX(T$2:T583, MATCH(TRUE, INDEX((T$2:T583&lt;&gt;"")*(N$2:N583="yes"), 0), 0))) * 1440 / COUNTIF(N$2:N583, "yes"), ""))</f>
        <v/>
      </c>
    </row>
    <row r="584" spans="18:21" x14ac:dyDescent="0.25">
      <c r="R584" s="2" t="str">
        <f t="shared" si="20"/>
        <v/>
      </c>
      <c r="S584" s="2" t="str" cm="1">
        <f t="array" aca="1" ref="S584" ca="1">IF(T584&lt;&gt;"", IFERROR((T584 - MAX(_xlfn._xlws.FILTER(T$2:T583, N$2:N583 = "yes"))) * 24 * 60, ""), "")</f>
        <v/>
      </c>
      <c r="T584" s="2" t="str">
        <f t="shared" ca="1" si="19"/>
        <v/>
      </c>
      <c r="U584" s="2" t="str" cm="1">
        <f t="array" ref="U584">IF(N584&lt;&gt;"yes", "", IFERROR((T584 - INDEX(T$2:T584, MATCH(TRUE, INDEX((T$2:T584&lt;&gt;"")*(N$2:N584="yes"), 0), 0))) * 1440 / COUNTIF(N$2:N584, "yes"), ""))</f>
        <v/>
      </c>
    </row>
    <row r="585" spans="18:21" x14ac:dyDescent="0.25">
      <c r="R585" s="2" t="str">
        <f t="shared" si="20"/>
        <v/>
      </c>
      <c r="S585" s="2" t="str" cm="1">
        <f t="array" aca="1" ref="S585" ca="1">IF(T585&lt;&gt;"", IFERROR((T585 - MAX(_xlfn._xlws.FILTER(T$2:T584, N$2:N584 = "yes"))) * 24 * 60, ""), "")</f>
        <v/>
      </c>
      <c r="T585" s="2" t="str">
        <f t="shared" ca="1" si="19"/>
        <v/>
      </c>
      <c r="U585" s="2" t="str" cm="1">
        <f t="array" ref="U585">IF(N585&lt;&gt;"yes", "", IFERROR((T585 - INDEX(T$2:T585, MATCH(TRUE, INDEX((T$2:T585&lt;&gt;"")*(N$2:N585="yes"), 0), 0))) * 1440 / COUNTIF(N$2:N585, "yes"), ""))</f>
        <v/>
      </c>
    </row>
    <row r="586" spans="18:21" x14ac:dyDescent="0.25">
      <c r="R586" s="2" t="str">
        <f t="shared" si="20"/>
        <v/>
      </c>
      <c r="S586" s="2" t="str" cm="1">
        <f t="array" aca="1" ref="S586" ca="1">IF(T586&lt;&gt;"", IFERROR((T586 - MAX(_xlfn._xlws.FILTER(T$2:T585, N$2:N585 = "yes"))) * 24 * 60, ""), "")</f>
        <v/>
      </c>
      <c r="T586" s="2" t="str">
        <f t="shared" ca="1" si="19"/>
        <v/>
      </c>
      <c r="U586" s="2" t="str" cm="1">
        <f t="array" ref="U586">IF(N586&lt;&gt;"yes", "", IFERROR((T586 - INDEX(T$2:T586, MATCH(TRUE, INDEX((T$2:T586&lt;&gt;"")*(N$2:N586="yes"), 0), 0))) * 1440 / COUNTIF(N$2:N586, "yes"), ""))</f>
        <v/>
      </c>
    </row>
    <row r="587" spans="18:21" x14ac:dyDescent="0.25">
      <c r="R587" s="2" t="str">
        <f t="shared" si="20"/>
        <v/>
      </c>
      <c r="S587" s="2" t="str" cm="1">
        <f t="array" aca="1" ref="S587" ca="1">IF(T587&lt;&gt;"", IFERROR((T587 - MAX(_xlfn._xlws.FILTER(T$2:T586, N$2:N586 = "yes"))) * 24 * 60, ""), "")</f>
        <v/>
      </c>
      <c r="T587" s="2" t="str">
        <f t="shared" ca="1" si="19"/>
        <v/>
      </c>
      <c r="U587" s="2" t="str" cm="1">
        <f t="array" ref="U587">IF(N587&lt;&gt;"yes", "", IFERROR((T587 - INDEX(T$2:T587, MATCH(TRUE, INDEX((T$2:T587&lt;&gt;"")*(N$2:N587="yes"), 0), 0))) * 1440 / COUNTIF(N$2:N587, "yes"), ""))</f>
        <v/>
      </c>
    </row>
    <row r="588" spans="18:21" x14ac:dyDescent="0.25">
      <c r="R588" s="2" t="str">
        <f t="shared" si="20"/>
        <v/>
      </c>
      <c r="S588" s="2" t="str" cm="1">
        <f t="array" aca="1" ref="S588" ca="1">IF(T588&lt;&gt;"", IFERROR((T588 - MAX(_xlfn._xlws.FILTER(T$2:T587, N$2:N587 = "yes"))) * 24 * 60, ""), "")</f>
        <v/>
      </c>
      <c r="T588" s="2" t="str">
        <f t="shared" ca="1" si="19"/>
        <v/>
      </c>
      <c r="U588" s="2" t="str" cm="1">
        <f t="array" ref="U588">IF(N588&lt;&gt;"yes", "", IFERROR((T588 - INDEX(T$2:T588, MATCH(TRUE, INDEX((T$2:T588&lt;&gt;"")*(N$2:N588="yes"), 0), 0))) * 1440 / COUNTIF(N$2:N588, "yes"), ""))</f>
        <v/>
      </c>
    </row>
    <row r="589" spans="18:21" x14ac:dyDescent="0.25">
      <c r="R589" s="2" t="str">
        <f t="shared" si="20"/>
        <v/>
      </c>
      <c r="S589" s="2" t="str" cm="1">
        <f t="array" aca="1" ref="S589" ca="1">IF(T589&lt;&gt;"", IFERROR((T589 - MAX(_xlfn._xlws.FILTER(T$2:T588, N$2:N588 = "yes"))) * 24 * 60, ""), "")</f>
        <v/>
      </c>
      <c r="T589" s="2" t="str">
        <f t="shared" ca="1" si="19"/>
        <v/>
      </c>
      <c r="U589" s="2" t="str" cm="1">
        <f t="array" ref="U589">IF(N589&lt;&gt;"yes", "", IFERROR((T589 - INDEX(T$2:T589, MATCH(TRUE, INDEX((T$2:T589&lt;&gt;"")*(N$2:N589="yes"), 0), 0))) * 1440 / COUNTIF(N$2:N589, "yes"), ""))</f>
        <v/>
      </c>
    </row>
    <row r="590" spans="18:21" x14ac:dyDescent="0.25">
      <c r="R590" s="2" t="str">
        <f t="shared" si="20"/>
        <v/>
      </c>
      <c r="S590" s="2" t="str" cm="1">
        <f t="array" aca="1" ref="S590" ca="1">IF(T590&lt;&gt;"", IFERROR((T590 - MAX(_xlfn._xlws.FILTER(T$2:T589, N$2:N589 = "yes"))) * 24 * 60, ""), "")</f>
        <v/>
      </c>
      <c r="T590" s="2" t="str">
        <f t="shared" ca="1" si="19"/>
        <v/>
      </c>
      <c r="U590" s="2" t="str" cm="1">
        <f t="array" ref="U590">IF(N590&lt;&gt;"yes", "", IFERROR((T590 - INDEX(T$2:T590, MATCH(TRUE, INDEX((T$2:T590&lt;&gt;"")*(N$2:N590="yes"), 0), 0))) * 1440 / COUNTIF(N$2:N590, "yes"), ""))</f>
        <v/>
      </c>
    </row>
    <row r="591" spans="18:21" x14ac:dyDescent="0.25">
      <c r="R591" s="2" t="str">
        <f t="shared" si="20"/>
        <v/>
      </c>
      <c r="S591" s="2" t="str" cm="1">
        <f t="array" aca="1" ref="S591" ca="1">IF(T591&lt;&gt;"", IFERROR((T591 - MAX(_xlfn._xlws.FILTER(T$2:T590, N$2:N590 = "yes"))) * 24 * 60, ""), "")</f>
        <v/>
      </c>
      <c r="T591" s="2" t="str">
        <f t="shared" ca="1" si="19"/>
        <v/>
      </c>
      <c r="U591" s="2" t="str" cm="1">
        <f t="array" ref="U591">IF(N591&lt;&gt;"yes", "", IFERROR((T591 - INDEX(T$2:T591, MATCH(TRUE, INDEX((T$2:T591&lt;&gt;"")*(N$2:N591="yes"), 0), 0))) * 1440 / COUNTIF(N$2:N591, "yes"), ""))</f>
        <v/>
      </c>
    </row>
    <row r="592" spans="18:21" x14ac:dyDescent="0.25">
      <c r="R592" s="2" t="str">
        <f t="shared" si="20"/>
        <v/>
      </c>
      <c r="S592" s="2" t="str" cm="1">
        <f t="array" aca="1" ref="S592" ca="1">IF(T592&lt;&gt;"", IFERROR((T592 - MAX(_xlfn._xlws.FILTER(T$2:T591, N$2:N591 = "yes"))) * 24 * 60, ""), "")</f>
        <v/>
      </c>
      <c r="T592" s="2" t="str">
        <f t="shared" ca="1" si="19"/>
        <v/>
      </c>
      <c r="U592" s="2" t="str" cm="1">
        <f t="array" ref="U592">IF(N592&lt;&gt;"yes", "", IFERROR((T592 - INDEX(T$2:T592, MATCH(TRUE, INDEX((T$2:T592&lt;&gt;"")*(N$2:N592="yes"), 0), 0))) * 1440 / COUNTIF(N$2:N592, "yes"), ""))</f>
        <v/>
      </c>
    </row>
    <row r="593" spans="18:21" x14ac:dyDescent="0.25">
      <c r="R593" s="2" t="str">
        <f t="shared" si="20"/>
        <v/>
      </c>
      <c r="S593" s="2" t="str" cm="1">
        <f t="array" aca="1" ref="S593" ca="1">IF(T593&lt;&gt;"", IFERROR((T593 - MAX(_xlfn._xlws.FILTER(T$2:T592, N$2:N592 = "yes"))) * 24 * 60, ""), "")</f>
        <v/>
      </c>
      <c r="T593" s="2" t="str">
        <f t="shared" ca="1" si="19"/>
        <v/>
      </c>
      <c r="U593" s="2" t="str" cm="1">
        <f t="array" ref="U593">IF(N593&lt;&gt;"yes", "", IFERROR((T593 - INDEX(T$2:T593, MATCH(TRUE, INDEX((T$2:T593&lt;&gt;"")*(N$2:N593="yes"), 0), 0))) * 1440 / COUNTIF(N$2:N593, "yes"), ""))</f>
        <v/>
      </c>
    </row>
    <row r="594" spans="18:21" x14ac:dyDescent="0.25">
      <c r="R594" s="2" t="str">
        <f t="shared" si="20"/>
        <v/>
      </c>
      <c r="S594" s="2" t="str" cm="1">
        <f t="array" aca="1" ref="S594" ca="1">IF(T594&lt;&gt;"", IFERROR((T594 - MAX(_xlfn._xlws.FILTER(T$2:T593, N$2:N593 = "yes"))) * 24 * 60, ""), "")</f>
        <v/>
      </c>
      <c r="T594" s="2" t="str">
        <f t="shared" ca="1" si="19"/>
        <v/>
      </c>
      <c r="U594" s="2" t="str" cm="1">
        <f t="array" ref="U594">IF(N594&lt;&gt;"yes", "", IFERROR((T594 - INDEX(T$2:T594, MATCH(TRUE, INDEX((T$2:T594&lt;&gt;"")*(N$2:N594="yes"), 0), 0))) * 1440 / COUNTIF(N$2:N594, "yes"), ""))</f>
        <v/>
      </c>
    </row>
    <row r="595" spans="18:21" x14ac:dyDescent="0.25">
      <c r="R595" s="2" t="str">
        <f t="shared" si="20"/>
        <v/>
      </c>
      <c r="S595" s="2" t="str" cm="1">
        <f t="array" aca="1" ref="S595" ca="1">IF(T595&lt;&gt;"", IFERROR((T595 - MAX(_xlfn._xlws.FILTER(T$2:T594, N$2:N594 = "yes"))) * 24 * 60, ""), "")</f>
        <v/>
      </c>
      <c r="T595" s="2" t="str">
        <f t="shared" ca="1" si="19"/>
        <v/>
      </c>
      <c r="U595" s="2" t="str" cm="1">
        <f t="array" ref="U595">IF(N595&lt;&gt;"yes", "", IFERROR((T595 - INDEX(T$2:T595, MATCH(TRUE, INDEX((T$2:T595&lt;&gt;"")*(N$2:N595="yes"), 0), 0))) * 1440 / COUNTIF(N$2:N595, "yes"), ""))</f>
        <v/>
      </c>
    </row>
    <row r="596" spans="18:21" x14ac:dyDescent="0.25">
      <c r="R596" s="2" t="str">
        <f t="shared" si="20"/>
        <v/>
      </c>
      <c r="S596" s="2" t="str" cm="1">
        <f t="array" aca="1" ref="S596" ca="1">IF(T596&lt;&gt;"", IFERROR((T596 - MAX(_xlfn._xlws.FILTER(T$2:T595, N$2:N595 = "yes"))) * 24 * 60, ""), "")</f>
        <v/>
      </c>
      <c r="T596" s="2" t="str">
        <f t="shared" ca="1" si="19"/>
        <v/>
      </c>
      <c r="U596" s="2" t="str" cm="1">
        <f t="array" ref="U596">IF(N596&lt;&gt;"yes", "", IFERROR((T596 - INDEX(T$2:T596, MATCH(TRUE, INDEX((T$2:T596&lt;&gt;"")*(N$2:N596="yes"), 0), 0))) * 1440 / COUNTIF(N$2:N596, "yes"), ""))</f>
        <v/>
      </c>
    </row>
    <row r="597" spans="18:21" x14ac:dyDescent="0.25">
      <c r="R597" s="2" t="str">
        <f t="shared" si="20"/>
        <v/>
      </c>
      <c r="S597" s="2" t="str" cm="1">
        <f t="array" aca="1" ref="S597" ca="1">IF(T597&lt;&gt;"", IFERROR((T597 - MAX(_xlfn._xlws.FILTER(T$2:T596, N$2:N596 = "yes"))) * 24 * 60, ""), "")</f>
        <v/>
      </c>
      <c r="T597" s="2" t="str">
        <f t="shared" ca="1" si="19"/>
        <v/>
      </c>
      <c r="U597" s="2" t="str" cm="1">
        <f t="array" ref="U597">IF(N597&lt;&gt;"yes", "", IFERROR((T597 - INDEX(T$2:T597, MATCH(TRUE, INDEX((T$2:T597&lt;&gt;"")*(N$2:N597="yes"), 0), 0))) * 1440 / COUNTIF(N$2:N597, "yes"), ""))</f>
        <v/>
      </c>
    </row>
    <row r="598" spans="18:21" x14ac:dyDescent="0.25">
      <c r="R598" s="2" t="str">
        <f t="shared" si="20"/>
        <v/>
      </c>
      <c r="S598" s="2" t="str" cm="1">
        <f t="array" aca="1" ref="S598" ca="1">IF(T598&lt;&gt;"", IFERROR((T598 - MAX(_xlfn._xlws.FILTER(T$2:T597, N$2:N597 = "yes"))) * 24 * 60, ""), "")</f>
        <v/>
      </c>
      <c r="T598" s="2" t="str">
        <f t="shared" ca="1" si="19"/>
        <v/>
      </c>
      <c r="U598" s="2" t="str" cm="1">
        <f t="array" ref="U598">IF(N598&lt;&gt;"yes", "", IFERROR((T598 - INDEX(T$2:T598, MATCH(TRUE, INDEX((T$2:T598&lt;&gt;"")*(N$2:N598="yes"), 0), 0))) * 1440 / COUNTIF(N$2:N598, "yes"), ""))</f>
        <v/>
      </c>
    </row>
    <row r="599" spans="18:21" x14ac:dyDescent="0.25">
      <c r="R599" s="2" t="str">
        <f t="shared" si="20"/>
        <v/>
      </c>
      <c r="S599" s="2" t="str" cm="1">
        <f t="array" aca="1" ref="S599" ca="1">IF(T599&lt;&gt;"", IFERROR((T599 - MAX(_xlfn._xlws.FILTER(T$2:T598, N$2:N598 = "yes"))) * 24 * 60, ""), "")</f>
        <v/>
      </c>
      <c r="T599" s="2" t="str">
        <f t="shared" ca="1" si="19"/>
        <v/>
      </c>
      <c r="U599" s="2" t="str" cm="1">
        <f t="array" ref="U599">IF(N599&lt;&gt;"yes", "", IFERROR((T599 - INDEX(T$2:T599, MATCH(TRUE, INDEX((T$2:T599&lt;&gt;"")*(N$2:N599="yes"), 0), 0))) * 1440 / COUNTIF(N$2:N599, "yes"), ""))</f>
        <v/>
      </c>
    </row>
    <row r="600" spans="18:21" x14ac:dyDescent="0.25">
      <c r="R600" s="2" t="str">
        <f t="shared" si="20"/>
        <v/>
      </c>
      <c r="S600" s="2" t="str" cm="1">
        <f t="array" aca="1" ref="S600" ca="1">IF(T600&lt;&gt;"", IFERROR((T600 - MAX(_xlfn._xlws.FILTER(T$2:T599, N$2:N599 = "yes"))) * 24 * 60, ""), "")</f>
        <v/>
      </c>
      <c r="T600" s="2" t="str">
        <f t="shared" ca="1" si="19"/>
        <v/>
      </c>
      <c r="U600" s="2" t="str" cm="1">
        <f t="array" ref="U600">IF(N600&lt;&gt;"yes", "", IFERROR((T600 - INDEX(T$2:T600, MATCH(TRUE, INDEX((T$2:T600&lt;&gt;"")*(N$2:N600="yes"), 0), 0))) * 1440 / COUNTIF(N$2:N600, "yes"), ""))</f>
        <v/>
      </c>
    </row>
    <row r="601" spans="18:21" x14ac:dyDescent="0.25">
      <c r="R601" s="2" t="str">
        <f t="shared" si="20"/>
        <v/>
      </c>
      <c r="S601" s="2" t="str" cm="1">
        <f t="array" aca="1" ref="S601" ca="1">IF(T601&lt;&gt;"", IFERROR((T601 - MAX(_xlfn._xlws.FILTER(T$2:T600, N$2:N600 = "yes"))) * 24 * 60, ""), "")</f>
        <v/>
      </c>
      <c r="T601" s="2" t="str">
        <f t="shared" ca="1" si="19"/>
        <v/>
      </c>
      <c r="U601" s="2" t="str" cm="1">
        <f t="array" ref="U601">IF(N601&lt;&gt;"yes", "", IFERROR((T601 - INDEX(T$2:T601, MATCH(TRUE, INDEX((T$2:T601&lt;&gt;"")*(N$2:N601="yes"), 0), 0))) * 1440 / COUNTIF(N$2:N601, "yes"), ""))</f>
        <v/>
      </c>
    </row>
    <row r="602" spans="18:21" x14ac:dyDescent="0.25">
      <c r="R602" s="2" t="str">
        <f t="shared" si="20"/>
        <v/>
      </c>
      <c r="S602" s="2" t="str" cm="1">
        <f t="array" aca="1" ref="S602" ca="1">IF(T602&lt;&gt;"", IFERROR((T602 - MAX(_xlfn._xlws.FILTER(T$2:T601, N$2:N601 = "yes"))) * 24 * 60, ""), "")</f>
        <v/>
      </c>
      <c r="T602" s="2" t="str">
        <f t="shared" ca="1" si="19"/>
        <v/>
      </c>
      <c r="U602" s="2" t="str" cm="1">
        <f t="array" ref="U602">IF(N602&lt;&gt;"yes", "", IFERROR((T602 - INDEX(T$2:T602, MATCH(TRUE, INDEX((T$2:T602&lt;&gt;"")*(N$2:N602="yes"), 0), 0))) * 1440 / COUNTIF(N$2:N602, "yes"), ""))</f>
        <v/>
      </c>
    </row>
    <row r="603" spans="18:21" x14ac:dyDescent="0.25">
      <c r="R603" s="2" t="str">
        <f t="shared" si="20"/>
        <v/>
      </c>
      <c r="S603" s="2" t="str" cm="1">
        <f t="array" aca="1" ref="S603" ca="1">IF(T603&lt;&gt;"", IFERROR((T603 - MAX(_xlfn._xlws.FILTER(T$2:T602, N$2:N602 = "yes"))) * 24 * 60, ""), "")</f>
        <v/>
      </c>
      <c r="T603" s="2" t="str">
        <f t="shared" ca="1" si="19"/>
        <v/>
      </c>
      <c r="U603" s="2" t="str" cm="1">
        <f t="array" ref="U603">IF(N603&lt;&gt;"yes", "", IFERROR((T603 - INDEX(T$2:T603, MATCH(TRUE, INDEX((T$2:T603&lt;&gt;"")*(N$2:N603="yes"), 0), 0))) * 1440 / COUNTIF(N$2:N603, "yes"), ""))</f>
        <v/>
      </c>
    </row>
    <row r="604" spans="18:21" x14ac:dyDescent="0.25">
      <c r="R604" s="2" t="str">
        <f t="shared" si="20"/>
        <v/>
      </c>
      <c r="S604" s="2" t="str" cm="1">
        <f t="array" aca="1" ref="S604" ca="1">IF(T604&lt;&gt;"", IFERROR((T604 - MAX(_xlfn._xlws.FILTER(T$2:T603, N$2:N603 = "yes"))) * 24 * 60, ""), "")</f>
        <v/>
      </c>
      <c r="T604" s="2" t="str">
        <f t="shared" ca="1" si="19"/>
        <v/>
      </c>
      <c r="U604" s="2" t="str" cm="1">
        <f t="array" ref="U604">IF(N604&lt;&gt;"yes", "", IFERROR((T604 - INDEX(T$2:T604, MATCH(TRUE, INDEX((T$2:T604&lt;&gt;"")*(N$2:N604="yes"), 0), 0))) * 1440 / COUNTIF(N$2:N604, "yes"), ""))</f>
        <v/>
      </c>
    </row>
    <row r="605" spans="18:21" x14ac:dyDescent="0.25">
      <c r="R605" s="2" t="str">
        <f t="shared" si="20"/>
        <v/>
      </c>
      <c r="S605" s="2" t="str" cm="1">
        <f t="array" aca="1" ref="S605" ca="1">IF(T605&lt;&gt;"", IFERROR((T605 - MAX(_xlfn._xlws.FILTER(T$2:T604, N$2:N604 = "yes"))) * 24 * 60, ""), "")</f>
        <v/>
      </c>
      <c r="T605" s="2" t="str">
        <f t="shared" ca="1" si="19"/>
        <v/>
      </c>
      <c r="U605" s="2" t="str" cm="1">
        <f t="array" ref="U605">IF(N605&lt;&gt;"yes", "", IFERROR((T605 - INDEX(T$2:T605, MATCH(TRUE, INDEX((T$2:T605&lt;&gt;"")*(N$2:N605="yes"), 0), 0))) * 1440 / COUNTIF(N$2:N605, "yes"), ""))</f>
        <v/>
      </c>
    </row>
    <row r="606" spans="18:21" x14ac:dyDescent="0.25">
      <c r="R606" s="2" t="str">
        <f t="shared" si="20"/>
        <v/>
      </c>
      <c r="S606" s="2" t="str" cm="1">
        <f t="array" aca="1" ref="S606" ca="1">IF(T606&lt;&gt;"", IFERROR((T606 - MAX(_xlfn._xlws.FILTER(T$2:T605, N$2:N605 = "yes"))) * 24 * 60, ""), "")</f>
        <v/>
      </c>
      <c r="T606" s="2" t="str">
        <f t="shared" ca="1" si="19"/>
        <v/>
      </c>
      <c r="U606" s="2" t="str" cm="1">
        <f t="array" ref="U606">IF(N606&lt;&gt;"yes", "", IFERROR((T606 - INDEX(T$2:T606, MATCH(TRUE, INDEX((T$2:T606&lt;&gt;"")*(N$2:N606="yes"), 0), 0))) * 1440 / COUNTIF(N$2:N606, "yes"), ""))</f>
        <v/>
      </c>
    </row>
    <row r="607" spans="18:21" x14ac:dyDescent="0.25">
      <c r="R607" s="2" t="str">
        <f t="shared" si="20"/>
        <v/>
      </c>
      <c r="S607" s="2" t="str" cm="1">
        <f t="array" aca="1" ref="S607" ca="1">IF(T607&lt;&gt;"", IFERROR((T607 - MAX(_xlfn._xlws.FILTER(T$2:T606, N$2:N606 = "yes"))) * 24 * 60, ""), "")</f>
        <v/>
      </c>
      <c r="T607" s="2" t="str">
        <f t="shared" ca="1" si="19"/>
        <v/>
      </c>
      <c r="U607" s="2" t="str" cm="1">
        <f t="array" ref="U607">IF(N607&lt;&gt;"yes", "", IFERROR((T607 - INDEX(T$2:T607, MATCH(TRUE, INDEX((T$2:T607&lt;&gt;"")*(N$2:N607="yes"), 0), 0))) * 1440 / COUNTIF(N$2:N607, "yes"), ""))</f>
        <v/>
      </c>
    </row>
    <row r="608" spans="18:21" x14ac:dyDescent="0.25">
      <c r="R608" s="2" t="str">
        <f t="shared" si="20"/>
        <v/>
      </c>
      <c r="S608" s="2" t="str" cm="1">
        <f t="array" aca="1" ref="S608" ca="1">IF(T608&lt;&gt;"", IFERROR((T608 - MAX(_xlfn._xlws.FILTER(T$2:T607, N$2:N607 = "yes"))) * 24 * 60, ""), "")</f>
        <v/>
      </c>
      <c r="T608" s="2" t="str">
        <f t="shared" ca="1" si="19"/>
        <v/>
      </c>
      <c r="U608" s="2" t="str" cm="1">
        <f t="array" ref="U608">IF(N608&lt;&gt;"yes", "", IFERROR((T608 - INDEX(T$2:T608, MATCH(TRUE, INDEX((T$2:T608&lt;&gt;"")*(N$2:N608="yes"), 0), 0))) * 1440 / COUNTIF(N$2:N608, "yes"), ""))</f>
        <v/>
      </c>
    </row>
    <row r="609" spans="18:21" x14ac:dyDescent="0.25">
      <c r="R609" s="2" t="str">
        <f t="shared" si="20"/>
        <v/>
      </c>
      <c r="S609" s="2" t="str" cm="1">
        <f t="array" aca="1" ref="S609" ca="1">IF(T609&lt;&gt;"", IFERROR((T609 - MAX(_xlfn._xlws.FILTER(T$2:T608, N$2:N608 = "yes"))) * 24 * 60, ""), "")</f>
        <v/>
      </c>
      <c r="T609" s="2" t="str">
        <f t="shared" ca="1" si="19"/>
        <v/>
      </c>
      <c r="U609" s="2" t="str" cm="1">
        <f t="array" ref="U609">IF(N609&lt;&gt;"yes", "", IFERROR((T609 - INDEX(T$2:T609, MATCH(TRUE, INDEX((T$2:T609&lt;&gt;"")*(N$2:N609="yes"), 0), 0))) * 1440 / COUNTIF(N$2:N609, "yes"), ""))</f>
        <v/>
      </c>
    </row>
    <row r="610" spans="18:21" x14ac:dyDescent="0.25">
      <c r="R610" s="2" t="str">
        <f t="shared" si="20"/>
        <v/>
      </c>
      <c r="S610" s="2" t="str" cm="1">
        <f t="array" aca="1" ref="S610" ca="1">IF(T610&lt;&gt;"", IFERROR((T610 - MAX(_xlfn._xlws.FILTER(T$2:T609, N$2:N609 = "yes"))) * 24 * 60, ""), "")</f>
        <v/>
      </c>
      <c r="T610" s="2" t="str">
        <f t="shared" ca="1" si="19"/>
        <v/>
      </c>
      <c r="U610" s="2" t="str" cm="1">
        <f t="array" ref="U610">IF(N610&lt;&gt;"yes", "", IFERROR((T610 - INDEX(T$2:T610, MATCH(TRUE, INDEX((T$2:T610&lt;&gt;"")*(N$2:N610="yes"), 0), 0))) * 1440 / COUNTIF(N$2:N610, "yes"), ""))</f>
        <v/>
      </c>
    </row>
    <row r="611" spans="18:21" x14ac:dyDescent="0.25">
      <c r="R611" s="2" t="str">
        <f t="shared" si="20"/>
        <v/>
      </c>
      <c r="S611" s="2" t="str" cm="1">
        <f t="array" aca="1" ref="S611" ca="1">IF(T611&lt;&gt;"", IFERROR((T611 - MAX(_xlfn._xlws.FILTER(T$2:T610, N$2:N610 = "yes"))) * 24 * 60, ""), "")</f>
        <v/>
      </c>
      <c r="T611" s="2" t="str">
        <f t="shared" ca="1" si="19"/>
        <v/>
      </c>
      <c r="U611" s="2" t="str" cm="1">
        <f t="array" ref="U611">IF(N611&lt;&gt;"yes", "", IFERROR((T611 - INDEX(T$2:T611, MATCH(TRUE, INDEX((T$2:T611&lt;&gt;"")*(N$2:N611="yes"), 0), 0))) * 1440 / COUNTIF(N$2:N611, "yes"), ""))</f>
        <v/>
      </c>
    </row>
    <row r="612" spans="18:21" x14ac:dyDescent="0.25">
      <c r="R612" s="2" t="str">
        <f t="shared" si="20"/>
        <v/>
      </c>
      <c r="S612" s="2" t="str" cm="1">
        <f t="array" aca="1" ref="S612" ca="1">IF(T612&lt;&gt;"", IFERROR((T612 - MAX(_xlfn._xlws.FILTER(T$2:T611, N$2:N611 = "yes"))) * 24 * 60, ""), "")</f>
        <v/>
      </c>
      <c r="T612" s="2" t="str">
        <f t="shared" ca="1" si="19"/>
        <v/>
      </c>
      <c r="U612" s="2" t="str" cm="1">
        <f t="array" ref="U612">IF(N612&lt;&gt;"yes", "", IFERROR((T612 - INDEX(T$2:T612, MATCH(TRUE, INDEX((T$2:T612&lt;&gt;"")*(N$2:N612="yes"), 0), 0))) * 1440 / COUNTIF(N$2:N612, "yes"), ""))</f>
        <v/>
      </c>
    </row>
    <row r="613" spans="18:21" x14ac:dyDescent="0.25">
      <c r="R613" s="2" t="str">
        <f t="shared" si="20"/>
        <v/>
      </c>
      <c r="S613" s="2" t="str" cm="1">
        <f t="array" aca="1" ref="S613" ca="1">IF(T613&lt;&gt;"", IFERROR((T613 - MAX(_xlfn._xlws.FILTER(T$2:T612, N$2:N612 = "yes"))) * 24 * 60, ""), "")</f>
        <v/>
      </c>
      <c r="T613" s="2" t="str">
        <f t="shared" ca="1" si="19"/>
        <v/>
      </c>
      <c r="U613" s="2" t="str" cm="1">
        <f t="array" ref="U613">IF(N613&lt;&gt;"yes", "", IFERROR((T613 - INDEX(T$2:T613, MATCH(TRUE, INDEX((T$2:T613&lt;&gt;"")*(N$2:N613="yes"), 0), 0))) * 1440 / COUNTIF(N$2:N613, "yes"), ""))</f>
        <v/>
      </c>
    </row>
    <row r="614" spans="18:21" x14ac:dyDescent="0.25">
      <c r="R614" s="2" t="str">
        <f t="shared" si="20"/>
        <v/>
      </c>
      <c r="S614" s="2" t="str" cm="1">
        <f t="array" aca="1" ref="S614" ca="1">IF(T614&lt;&gt;"", IFERROR((T614 - MAX(_xlfn._xlws.FILTER(T$2:T613, N$2:N613 = "yes"))) * 24 * 60, ""), "")</f>
        <v/>
      </c>
      <c r="T614" s="2" t="str">
        <f t="shared" ca="1" si="19"/>
        <v/>
      </c>
      <c r="U614" s="2" t="str" cm="1">
        <f t="array" ref="U614">IF(N614&lt;&gt;"yes", "", IFERROR((T614 - INDEX(T$2:T614, MATCH(TRUE, INDEX((T$2:T614&lt;&gt;"")*(N$2:N614="yes"), 0), 0))) * 1440 / COUNTIF(N$2:N614, "yes"), ""))</f>
        <v/>
      </c>
    </row>
    <row r="615" spans="18:21" x14ac:dyDescent="0.25">
      <c r="R615" s="2" t="str">
        <f t="shared" si="20"/>
        <v/>
      </c>
      <c r="S615" s="2" t="str" cm="1">
        <f t="array" aca="1" ref="S615" ca="1">IF(T615&lt;&gt;"", IFERROR((T615 - MAX(_xlfn._xlws.FILTER(T$2:T614, N$2:N614 = "yes"))) * 24 * 60, ""), "")</f>
        <v/>
      </c>
      <c r="T615" s="2" t="str">
        <f t="shared" ca="1" si="19"/>
        <v/>
      </c>
      <c r="U615" s="2" t="str" cm="1">
        <f t="array" ref="U615">IF(N615&lt;&gt;"yes", "", IFERROR((T615 - INDEX(T$2:T615, MATCH(TRUE, INDEX((T$2:T615&lt;&gt;"")*(N$2:N615="yes"), 0), 0))) * 1440 / COUNTIF(N$2:N615, "yes"), ""))</f>
        <v/>
      </c>
    </row>
    <row r="616" spans="18:21" x14ac:dyDescent="0.25">
      <c r="R616" s="2" t="str">
        <f t="shared" si="20"/>
        <v/>
      </c>
      <c r="S616" s="2" t="str" cm="1">
        <f t="array" aca="1" ref="S616" ca="1">IF(T616&lt;&gt;"", IFERROR((T616 - MAX(_xlfn._xlws.FILTER(T$2:T615, N$2:N615 = "yes"))) * 24 * 60, ""), "")</f>
        <v/>
      </c>
      <c r="T616" s="2" t="str">
        <f t="shared" ca="1" si="19"/>
        <v/>
      </c>
      <c r="U616" s="2" t="str" cm="1">
        <f t="array" ref="U616">IF(N616&lt;&gt;"yes", "", IFERROR((T616 - INDEX(T$2:T616, MATCH(TRUE, INDEX((T$2:T616&lt;&gt;"")*(N$2:N616="yes"), 0), 0))) * 1440 / COUNTIF(N$2:N616, "yes"), ""))</f>
        <v/>
      </c>
    </row>
    <row r="617" spans="18:21" x14ac:dyDescent="0.25">
      <c r="R617" s="2" t="str">
        <f t="shared" si="20"/>
        <v/>
      </c>
      <c r="S617" s="2" t="str" cm="1">
        <f t="array" aca="1" ref="S617" ca="1">IF(T617&lt;&gt;"", IFERROR((T617 - MAX(_xlfn._xlws.FILTER(T$2:T616, N$2:N616 = "yes"))) * 24 * 60, ""), "")</f>
        <v/>
      </c>
      <c r="T617" s="2" t="str">
        <f t="shared" ca="1" si="19"/>
        <v/>
      </c>
      <c r="U617" s="2" t="str" cm="1">
        <f t="array" ref="U617">IF(N617&lt;&gt;"yes", "", IFERROR((T617 - INDEX(T$2:T617, MATCH(TRUE, INDEX((T$2:T617&lt;&gt;"")*(N$2:N617="yes"), 0), 0))) * 1440 / COUNTIF(N$2:N617, "yes"), ""))</f>
        <v/>
      </c>
    </row>
    <row r="618" spans="18:21" x14ac:dyDescent="0.25">
      <c r="R618" s="2" t="str">
        <f t="shared" si="20"/>
        <v/>
      </c>
      <c r="S618" s="2" t="str" cm="1">
        <f t="array" aca="1" ref="S618" ca="1">IF(T618&lt;&gt;"", IFERROR((T618 - MAX(_xlfn._xlws.FILTER(T$2:T617, N$2:N617 = "yes"))) * 24 * 60, ""), "")</f>
        <v/>
      </c>
      <c r="T618" s="2" t="str">
        <f t="shared" ca="1" si="19"/>
        <v/>
      </c>
      <c r="U618" s="2" t="str" cm="1">
        <f t="array" ref="U618">IF(N618&lt;&gt;"yes", "", IFERROR((T618 - INDEX(T$2:T618, MATCH(TRUE, INDEX((T$2:T618&lt;&gt;"")*(N$2:N618="yes"), 0), 0))) * 1440 / COUNTIF(N$2:N618, "yes"), ""))</f>
        <v/>
      </c>
    </row>
    <row r="619" spans="18:21" x14ac:dyDescent="0.25">
      <c r="R619" s="2" t="str">
        <f t="shared" si="20"/>
        <v/>
      </c>
      <c r="S619" s="2" t="str" cm="1">
        <f t="array" aca="1" ref="S619" ca="1">IF(T619&lt;&gt;"", IFERROR((T619 - MAX(_xlfn._xlws.FILTER(T$2:T618, N$2:N618 = "yes"))) * 24 * 60, ""), "")</f>
        <v/>
      </c>
      <c r="T619" s="2" t="str">
        <f t="shared" ca="1" si="19"/>
        <v/>
      </c>
      <c r="U619" s="2" t="str" cm="1">
        <f t="array" ref="U619">IF(N619&lt;&gt;"yes", "", IFERROR((T619 - INDEX(T$2:T619, MATCH(TRUE, INDEX((T$2:T619&lt;&gt;"")*(N$2:N619="yes"), 0), 0))) * 1440 / COUNTIF(N$2:N619, "yes"), ""))</f>
        <v/>
      </c>
    </row>
    <row r="620" spans="18:21" x14ac:dyDescent="0.25">
      <c r="R620" s="2" t="str">
        <f t="shared" si="20"/>
        <v/>
      </c>
      <c r="S620" s="2" t="str" cm="1">
        <f t="array" aca="1" ref="S620" ca="1">IF(T620&lt;&gt;"", IFERROR((T620 - MAX(_xlfn._xlws.FILTER(T$2:T619, N$2:N619 = "yes"))) * 24 * 60, ""), "")</f>
        <v/>
      </c>
      <c r="T620" s="2" t="str">
        <f t="shared" ca="1" si="19"/>
        <v/>
      </c>
      <c r="U620" s="2" t="str" cm="1">
        <f t="array" ref="U620">IF(N620&lt;&gt;"yes", "", IFERROR((T620 - INDEX(T$2:T620, MATCH(TRUE, INDEX((T$2:T620&lt;&gt;"")*(N$2:N620="yes"), 0), 0))) * 1440 / COUNTIF(N$2:N620, "yes"), ""))</f>
        <v/>
      </c>
    </row>
    <row r="621" spans="18:21" x14ac:dyDescent="0.25">
      <c r="R621" s="2" t="str">
        <f t="shared" si="20"/>
        <v/>
      </c>
      <c r="S621" s="2" t="str" cm="1">
        <f t="array" aca="1" ref="S621" ca="1">IF(T621&lt;&gt;"", IFERROR((T621 - MAX(_xlfn._xlws.FILTER(T$2:T620, N$2:N620 = "yes"))) * 24 * 60, ""), "")</f>
        <v/>
      </c>
      <c r="T621" s="2" t="str">
        <f t="shared" ca="1" si="19"/>
        <v/>
      </c>
      <c r="U621" s="2" t="str" cm="1">
        <f t="array" ref="U621">IF(N621&lt;&gt;"yes", "", IFERROR((T621 - INDEX(T$2:T621, MATCH(TRUE, INDEX((T$2:T621&lt;&gt;"")*(N$2:N621="yes"), 0), 0))) * 1440 / COUNTIF(N$2:N621, "yes"), ""))</f>
        <v/>
      </c>
    </row>
    <row r="622" spans="18:21" x14ac:dyDescent="0.25">
      <c r="R622" s="2" t="str">
        <f t="shared" si="20"/>
        <v/>
      </c>
      <c r="S622" s="2" t="str" cm="1">
        <f t="array" aca="1" ref="S622" ca="1">IF(T622&lt;&gt;"", IFERROR((T622 - MAX(_xlfn._xlws.FILTER(T$2:T621, N$2:N621 = "yes"))) * 24 * 60, ""), "")</f>
        <v/>
      </c>
      <c r="T622" s="2" t="str">
        <f t="shared" ca="1" si="19"/>
        <v/>
      </c>
      <c r="U622" s="2" t="str" cm="1">
        <f t="array" ref="U622">IF(N622&lt;&gt;"yes", "", IFERROR((T622 - INDEX(T$2:T622, MATCH(TRUE, INDEX((T$2:T622&lt;&gt;"")*(N$2:N622="yes"), 0), 0))) * 1440 / COUNTIF(N$2:N622, "yes"), ""))</f>
        <v/>
      </c>
    </row>
    <row r="623" spans="18:21" x14ac:dyDescent="0.25">
      <c r="R623" s="2" t="str">
        <f t="shared" si="20"/>
        <v/>
      </c>
      <c r="S623" s="2" t="str" cm="1">
        <f t="array" aca="1" ref="S623" ca="1">IF(T623&lt;&gt;"", IFERROR((T623 - MAX(_xlfn._xlws.FILTER(T$2:T622, N$2:N622 = "yes"))) * 24 * 60, ""), "")</f>
        <v/>
      </c>
      <c r="T623" s="2" t="str">
        <f t="shared" ca="1" si="19"/>
        <v/>
      </c>
      <c r="U623" s="2" t="str" cm="1">
        <f t="array" ref="U623">IF(N623&lt;&gt;"yes", "", IFERROR((T623 - INDEX(T$2:T623, MATCH(TRUE, INDEX((T$2:T623&lt;&gt;"")*(N$2:N623="yes"), 0), 0))) * 1440 / COUNTIF(N$2:N623, "yes"), ""))</f>
        <v/>
      </c>
    </row>
    <row r="624" spans="18:21" x14ac:dyDescent="0.25">
      <c r="R624" s="2" t="str">
        <f t="shared" si="20"/>
        <v/>
      </c>
      <c r="S624" s="2" t="str" cm="1">
        <f t="array" aca="1" ref="S624" ca="1">IF(T624&lt;&gt;"", IFERROR((T624 - MAX(_xlfn._xlws.FILTER(T$2:T623, N$2:N623 = "yes"))) * 24 * 60, ""), "")</f>
        <v/>
      </c>
      <c r="T624" s="2" t="str">
        <f t="shared" ca="1" si="19"/>
        <v/>
      </c>
      <c r="U624" s="2" t="str" cm="1">
        <f t="array" ref="U624">IF(N624&lt;&gt;"yes", "", IFERROR((T624 - INDEX(T$2:T624, MATCH(TRUE, INDEX((T$2:T624&lt;&gt;"")*(N$2:N624="yes"), 0), 0))) * 1440 / COUNTIF(N$2:N624, "yes"), ""))</f>
        <v/>
      </c>
    </row>
    <row r="625" spans="18:21" x14ac:dyDescent="0.25">
      <c r="R625" s="2" t="str">
        <f t="shared" si="20"/>
        <v/>
      </c>
      <c r="S625" s="2" t="str" cm="1">
        <f t="array" aca="1" ref="S625" ca="1">IF(T625&lt;&gt;"", IFERROR((T625 - MAX(_xlfn._xlws.FILTER(T$2:T624, N$2:N624 = "yes"))) * 24 * 60, ""), "")</f>
        <v/>
      </c>
      <c r="T625" s="2" t="str">
        <f t="shared" ca="1" si="19"/>
        <v/>
      </c>
      <c r="U625" s="2" t="str" cm="1">
        <f t="array" ref="U625">IF(N625&lt;&gt;"yes", "", IFERROR((T625 - INDEX(T$2:T625, MATCH(TRUE, INDEX((T$2:T625&lt;&gt;"")*(N$2:N625="yes"), 0), 0))) * 1440 / COUNTIF(N$2:N625, "yes"), ""))</f>
        <v/>
      </c>
    </row>
    <row r="626" spans="18:21" x14ac:dyDescent="0.25">
      <c r="R626" s="2" t="str">
        <f t="shared" si="20"/>
        <v/>
      </c>
      <c r="S626" s="2" t="str" cm="1">
        <f t="array" aca="1" ref="S626" ca="1">IF(T626&lt;&gt;"", IFERROR((T626 - MAX(_xlfn._xlws.FILTER(T$2:T625, N$2:N625 = "yes"))) * 24 * 60, ""), "")</f>
        <v/>
      </c>
      <c r="T626" s="2" t="str">
        <f t="shared" ca="1" si="19"/>
        <v/>
      </c>
      <c r="U626" s="2" t="str" cm="1">
        <f t="array" ref="U626">IF(N626&lt;&gt;"yes", "", IFERROR((T626 - INDEX(T$2:T626, MATCH(TRUE, INDEX((T$2:T626&lt;&gt;"")*(N$2:N626="yes"), 0), 0))) * 1440 / COUNTIF(N$2:N626, "yes"), ""))</f>
        <v/>
      </c>
    </row>
    <row r="627" spans="18:21" x14ac:dyDescent="0.25">
      <c r="R627" s="2" t="str">
        <f t="shared" si="20"/>
        <v/>
      </c>
      <c r="S627" s="2" t="str" cm="1">
        <f t="array" aca="1" ref="S627" ca="1">IF(T627&lt;&gt;"", IFERROR((T627 - MAX(_xlfn._xlws.FILTER(T$2:T626, N$2:N626 = "yes"))) * 24 * 60, ""), "")</f>
        <v/>
      </c>
      <c r="T627" s="2" t="str">
        <f t="shared" ca="1" si="19"/>
        <v/>
      </c>
      <c r="U627" s="2" t="str" cm="1">
        <f t="array" ref="U627">IF(N627&lt;&gt;"yes", "", IFERROR((T627 - INDEX(T$2:T627, MATCH(TRUE, INDEX((T$2:T627&lt;&gt;"")*(N$2:N627="yes"), 0), 0))) * 1440 / COUNTIF(N$2:N627, "yes"), ""))</f>
        <v/>
      </c>
    </row>
    <row r="628" spans="18:21" x14ac:dyDescent="0.25">
      <c r="R628" s="2" t="str">
        <f t="shared" si="20"/>
        <v/>
      </c>
      <c r="S628" s="2" t="str" cm="1">
        <f t="array" aca="1" ref="S628" ca="1">IF(T628&lt;&gt;"", IFERROR((T628 - MAX(_xlfn._xlws.FILTER(T$2:T627, N$2:N627 = "yes"))) * 24 * 60, ""), "")</f>
        <v/>
      </c>
      <c r="T628" s="2" t="str">
        <f t="shared" ca="1" si="19"/>
        <v/>
      </c>
      <c r="U628" s="2" t="str" cm="1">
        <f t="array" ref="U628">IF(N628&lt;&gt;"yes", "", IFERROR((T628 - INDEX(T$2:T628, MATCH(TRUE, INDEX((T$2:T628&lt;&gt;"")*(N$2:N628="yes"), 0), 0))) * 1440 / COUNTIF(N$2:N628, "yes"), ""))</f>
        <v/>
      </c>
    </row>
    <row r="629" spans="18:21" x14ac:dyDescent="0.25">
      <c r="R629" s="2" t="str">
        <f t="shared" si="20"/>
        <v/>
      </c>
      <c r="S629" s="2" t="str" cm="1">
        <f t="array" aca="1" ref="S629" ca="1">IF(T629&lt;&gt;"", IFERROR((T629 - MAX(_xlfn._xlws.FILTER(T$2:T628, N$2:N628 = "yes"))) * 24 * 60, ""), "")</f>
        <v/>
      </c>
      <c r="T629" s="2" t="str">
        <f t="shared" ca="1" si="19"/>
        <v/>
      </c>
      <c r="U629" s="2" t="str" cm="1">
        <f t="array" ref="U629">IF(N629&lt;&gt;"yes", "", IFERROR((T629 - INDEX(T$2:T629, MATCH(TRUE, INDEX((T$2:T629&lt;&gt;"")*(N$2:N629="yes"), 0), 0))) * 1440 / COUNTIF(N$2:N629, "yes"), ""))</f>
        <v/>
      </c>
    </row>
    <row r="630" spans="18:21" x14ac:dyDescent="0.25">
      <c r="R630" s="2" t="str">
        <f t="shared" si="20"/>
        <v/>
      </c>
      <c r="S630" s="2" t="str" cm="1">
        <f t="array" aca="1" ref="S630" ca="1">IF(T630&lt;&gt;"", IFERROR((T630 - MAX(_xlfn._xlws.FILTER(T$2:T629, N$2:N629 = "yes"))) * 24 * 60, ""), "")</f>
        <v/>
      </c>
      <c r="T630" s="2" t="str">
        <f t="shared" ca="1" si="19"/>
        <v/>
      </c>
      <c r="U630" s="2" t="str" cm="1">
        <f t="array" ref="U630">IF(N630&lt;&gt;"yes", "", IFERROR((T630 - INDEX(T$2:T630, MATCH(TRUE, INDEX((T$2:T630&lt;&gt;"")*(N$2:N630="yes"), 0), 0))) * 1440 / COUNTIF(N$2:N630, "yes"), ""))</f>
        <v/>
      </c>
    </row>
    <row r="631" spans="18:21" x14ac:dyDescent="0.25">
      <c r="R631" s="2" t="str">
        <f t="shared" si="20"/>
        <v/>
      </c>
      <c r="S631" s="2" t="str" cm="1">
        <f t="array" aca="1" ref="S631" ca="1">IF(T631&lt;&gt;"", IFERROR((T631 - MAX(_xlfn._xlws.FILTER(T$2:T630, N$2:N630 = "yes"))) * 24 * 60, ""), "")</f>
        <v/>
      </c>
      <c r="T631" s="2" t="str">
        <f t="shared" ca="1" si="19"/>
        <v/>
      </c>
      <c r="U631" s="2" t="str" cm="1">
        <f t="array" ref="U631">IF(N631&lt;&gt;"yes", "", IFERROR((T631 - INDEX(T$2:T631, MATCH(TRUE, INDEX((T$2:T631&lt;&gt;"")*(N$2:N631="yes"), 0), 0))) * 1440 / COUNTIF(N$2:N631, "yes"), ""))</f>
        <v/>
      </c>
    </row>
    <row r="632" spans="18:21" x14ac:dyDescent="0.25">
      <c r="R632" s="2" t="str">
        <f t="shared" si="20"/>
        <v/>
      </c>
      <c r="S632" s="2" t="str" cm="1">
        <f t="array" aca="1" ref="S632" ca="1">IF(T632&lt;&gt;"", IFERROR((T632 - MAX(_xlfn._xlws.FILTER(T$2:T631, N$2:N631 = "yes"))) * 24 * 60, ""), "")</f>
        <v/>
      </c>
      <c r="T632" s="2" t="str">
        <f t="shared" ca="1" si="19"/>
        <v/>
      </c>
      <c r="U632" s="2" t="str" cm="1">
        <f t="array" ref="U632">IF(N632&lt;&gt;"yes", "", IFERROR((T632 - INDEX(T$2:T632, MATCH(TRUE, INDEX((T$2:T632&lt;&gt;"")*(N$2:N632="yes"), 0), 0))) * 1440 / COUNTIF(N$2:N632, "yes"), ""))</f>
        <v/>
      </c>
    </row>
    <row r="633" spans="18:21" x14ac:dyDescent="0.25">
      <c r="R633" s="2" t="str">
        <f t="shared" si="20"/>
        <v/>
      </c>
      <c r="S633" s="2" t="str" cm="1">
        <f t="array" aca="1" ref="S633" ca="1">IF(T633&lt;&gt;"", IFERROR((T633 - MAX(_xlfn._xlws.FILTER(T$2:T632, N$2:N632 = "yes"))) * 24 * 60, ""), "")</f>
        <v/>
      </c>
      <c r="T633" s="2" t="str">
        <f t="shared" ca="1" si="19"/>
        <v/>
      </c>
      <c r="U633" s="2" t="str" cm="1">
        <f t="array" ref="U633">IF(N633&lt;&gt;"yes", "", IFERROR((T633 - INDEX(T$2:T633, MATCH(TRUE, INDEX((T$2:T633&lt;&gt;"")*(N$2:N633="yes"), 0), 0))) * 1440 / COUNTIF(N$2:N633, "yes"), ""))</f>
        <v/>
      </c>
    </row>
    <row r="634" spans="18:21" x14ac:dyDescent="0.25">
      <c r="R634" s="2" t="str">
        <f t="shared" si="20"/>
        <v/>
      </c>
      <c r="S634" s="2" t="str" cm="1">
        <f t="array" aca="1" ref="S634" ca="1">IF(T634&lt;&gt;"", IFERROR((T634 - MAX(_xlfn._xlws.FILTER(T$2:T633, N$2:N633 = "yes"))) * 24 * 60, ""), "")</f>
        <v/>
      </c>
      <c r="T634" s="2" t="str">
        <f t="shared" ca="1" si="19"/>
        <v/>
      </c>
      <c r="U634" s="2" t="str" cm="1">
        <f t="array" ref="U634">IF(N634&lt;&gt;"yes", "", IFERROR((T634 - INDEX(T$2:T634, MATCH(TRUE, INDEX((T$2:T634&lt;&gt;"")*(N$2:N634="yes"), 0), 0))) * 1440 / COUNTIF(N$2:N634, "yes"), ""))</f>
        <v/>
      </c>
    </row>
    <row r="635" spans="18:21" x14ac:dyDescent="0.25">
      <c r="R635" s="2" t="str">
        <f t="shared" si="20"/>
        <v/>
      </c>
      <c r="S635" s="2" t="str" cm="1">
        <f t="array" aca="1" ref="S635" ca="1">IF(T635&lt;&gt;"", IFERROR((T635 - MAX(_xlfn._xlws.FILTER(T$2:T634, N$2:N634 = "yes"))) * 24 * 60, ""), "")</f>
        <v/>
      </c>
      <c r="T635" s="2" t="str">
        <f t="shared" ca="1" si="19"/>
        <v/>
      </c>
      <c r="U635" s="2" t="str" cm="1">
        <f t="array" ref="U635">IF(N635&lt;&gt;"yes", "", IFERROR((T635 - INDEX(T$2:T635, MATCH(TRUE, INDEX((T$2:T635&lt;&gt;"")*(N$2:N635="yes"), 0), 0))) * 1440 / COUNTIF(N$2:N635, "yes"), ""))</f>
        <v/>
      </c>
    </row>
    <row r="636" spans="18:21" x14ac:dyDescent="0.25">
      <c r="R636" s="2" t="str">
        <f t="shared" si="20"/>
        <v/>
      </c>
      <c r="S636" s="2" t="str" cm="1">
        <f t="array" aca="1" ref="S636" ca="1">IF(T636&lt;&gt;"", IFERROR((T636 - MAX(_xlfn._xlws.FILTER(T$2:T635, N$2:N635 = "yes"))) * 24 * 60, ""), "")</f>
        <v/>
      </c>
      <c r="T636" s="2" t="str">
        <f t="shared" ca="1" si="19"/>
        <v/>
      </c>
      <c r="U636" s="2" t="str" cm="1">
        <f t="array" ref="U636">IF(N636&lt;&gt;"yes", "", IFERROR((T636 - INDEX(T$2:T636, MATCH(TRUE, INDEX((T$2:T636&lt;&gt;"")*(N$2:N636="yes"), 0), 0))) * 1440 / COUNTIF(N$2:N636, "yes"), ""))</f>
        <v/>
      </c>
    </row>
    <row r="637" spans="18:21" x14ac:dyDescent="0.25">
      <c r="R637" s="2" t="str">
        <f t="shared" si="20"/>
        <v/>
      </c>
      <c r="S637" s="2" t="str" cm="1">
        <f t="array" aca="1" ref="S637" ca="1">IF(T637&lt;&gt;"", IFERROR((T637 - MAX(_xlfn._xlws.FILTER(T$2:T636, N$2:N636 = "yes"))) * 24 * 60, ""), "")</f>
        <v/>
      </c>
      <c r="T637" s="2" t="str">
        <f t="shared" ca="1" si="19"/>
        <v/>
      </c>
      <c r="U637" s="2" t="str" cm="1">
        <f t="array" ref="U637">IF(N637&lt;&gt;"yes", "", IFERROR((T637 - INDEX(T$2:T637, MATCH(TRUE, INDEX((T$2:T637&lt;&gt;"")*(N$2:N637="yes"), 0), 0))) * 1440 / COUNTIF(N$2:N637, "yes"), ""))</f>
        <v/>
      </c>
    </row>
    <row r="638" spans="18:21" x14ac:dyDescent="0.25">
      <c r="R638" s="2" t="str">
        <f t="shared" si="20"/>
        <v/>
      </c>
      <c r="S638" s="2" t="str" cm="1">
        <f t="array" aca="1" ref="S638" ca="1">IF(T638&lt;&gt;"", IFERROR((T638 - MAX(_xlfn._xlws.FILTER(T$2:T637, N$2:N637 = "yes"))) * 24 * 60, ""), "")</f>
        <v/>
      </c>
      <c r="T638" s="2" t="str">
        <f t="shared" ca="1" si="19"/>
        <v/>
      </c>
      <c r="U638" s="2" t="str" cm="1">
        <f t="array" ref="U638">IF(N638&lt;&gt;"yes", "", IFERROR((T638 - INDEX(T$2:T638, MATCH(TRUE, INDEX((T$2:T638&lt;&gt;"")*(N$2:N638="yes"), 0), 0))) * 1440 / COUNTIF(N$2:N638, "yes"), ""))</f>
        <v/>
      </c>
    </row>
    <row r="639" spans="18:21" x14ac:dyDescent="0.25">
      <c r="R639" s="2" t="str">
        <f t="shared" si="20"/>
        <v/>
      </c>
      <c r="S639" s="2" t="str" cm="1">
        <f t="array" aca="1" ref="S639" ca="1">IF(T639&lt;&gt;"", IFERROR((T639 - MAX(_xlfn._xlws.FILTER(T$2:T638, N$2:N638 = "yes"))) * 24 * 60, ""), "")</f>
        <v/>
      </c>
      <c r="T639" s="2" t="str">
        <f t="shared" ca="1" si="19"/>
        <v/>
      </c>
      <c r="U639" s="2" t="str" cm="1">
        <f t="array" ref="U639">IF(N639&lt;&gt;"yes", "", IFERROR((T639 - INDEX(T$2:T639, MATCH(TRUE, INDEX((T$2:T639&lt;&gt;"")*(N$2:N639="yes"), 0), 0))) * 1440 / COUNTIF(N$2:N639, "yes"), ""))</f>
        <v/>
      </c>
    </row>
    <row r="640" spans="18:21" x14ac:dyDescent="0.25">
      <c r="R640" s="2" t="str">
        <f t="shared" si="20"/>
        <v/>
      </c>
      <c r="S640" s="2" t="str" cm="1">
        <f t="array" aca="1" ref="S640" ca="1">IF(T640&lt;&gt;"", IFERROR((T640 - MAX(_xlfn._xlws.FILTER(T$2:T639, N$2:N639 = "yes"))) * 24 * 60, ""), "")</f>
        <v/>
      </c>
      <c r="T640" s="2" t="str">
        <f t="shared" ca="1" si="19"/>
        <v/>
      </c>
      <c r="U640" s="2" t="str" cm="1">
        <f t="array" ref="U640">IF(N640&lt;&gt;"yes", "", IFERROR((T640 - INDEX(T$2:T640, MATCH(TRUE, INDEX((T$2:T640&lt;&gt;"")*(N$2:N640="yes"), 0), 0))) * 1440 / COUNTIF(N$2:N640, "yes"), ""))</f>
        <v/>
      </c>
    </row>
    <row r="641" spans="18:21" x14ac:dyDescent="0.25">
      <c r="R641" s="2" t="str">
        <f t="shared" si="20"/>
        <v/>
      </c>
      <c r="S641" s="2" t="str" cm="1">
        <f t="array" aca="1" ref="S641" ca="1">IF(T641&lt;&gt;"", IFERROR((T641 - MAX(_xlfn._xlws.FILTER(T$2:T640, N$2:N640 = "yes"))) * 24 * 60, ""), "")</f>
        <v/>
      </c>
      <c r="T641" s="2" t="str">
        <f t="shared" ca="1" si="19"/>
        <v/>
      </c>
      <c r="U641" s="2" t="str" cm="1">
        <f t="array" ref="U641">IF(N641&lt;&gt;"yes", "", IFERROR((T641 - INDEX(T$2:T641, MATCH(TRUE, INDEX((T$2:T641&lt;&gt;"")*(N$2:N641="yes"), 0), 0))) * 1440 / COUNTIF(N$2:N641, "yes"), ""))</f>
        <v/>
      </c>
    </row>
    <row r="642" spans="18:21" x14ac:dyDescent="0.25">
      <c r="R642" s="2" t="str">
        <f t="shared" si="20"/>
        <v/>
      </c>
      <c r="S642" s="2" t="str" cm="1">
        <f t="array" aca="1" ref="S642" ca="1">IF(T642&lt;&gt;"", IFERROR((T642 - MAX(_xlfn._xlws.FILTER(T$2:T641, N$2:N641 = "yes"))) * 24 * 60, ""), "")</f>
        <v/>
      </c>
      <c r="T642" s="2" t="str">
        <f t="shared" ref="T642:T705" ca="1" si="21">IF(N642="yes", NOW(), "")</f>
        <v/>
      </c>
      <c r="U642" s="2" t="str" cm="1">
        <f t="array" ref="U642">IF(N642&lt;&gt;"yes", "", IFERROR((T642 - INDEX(T$2:T642, MATCH(TRUE, INDEX((T$2:T642&lt;&gt;"")*(N$2:N642="yes"), 0), 0))) * 1440 / COUNTIF(N$2:N642, "yes"), ""))</f>
        <v/>
      </c>
    </row>
    <row r="643" spans="18:21" x14ac:dyDescent="0.25">
      <c r="R643" s="2" t="str">
        <f t="shared" ref="R643:R706" si="22">IF(AND(ISNUMBER(P643), ISNUMBER(Q643)), (Q643 - P643) * 1440, "")</f>
        <v/>
      </c>
      <c r="S643" s="2" t="str" cm="1">
        <f t="array" aca="1" ref="S643" ca="1">IF(T643&lt;&gt;"", IFERROR((T643 - MAX(_xlfn._xlws.FILTER(T$2:T642, N$2:N642 = "yes"))) * 24 * 60, ""), "")</f>
        <v/>
      </c>
      <c r="T643" s="2" t="str">
        <f t="shared" ca="1" si="21"/>
        <v/>
      </c>
      <c r="U643" s="2" t="str" cm="1">
        <f t="array" ref="U643">IF(N643&lt;&gt;"yes", "", IFERROR((T643 - INDEX(T$2:T643, MATCH(TRUE, INDEX((T$2:T643&lt;&gt;"")*(N$2:N643="yes"), 0), 0))) * 1440 / COUNTIF(N$2:N643, "yes"), ""))</f>
        <v/>
      </c>
    </row>
    <row r="644" spans="18:21" x14ac:dyDescent="0.25">
      <c r="R644" s="2" t="str">
        <f t="shared" si="22"/>
        <v/>
      </c>
      <c r="S644" s="2" t="str" cm="1">
        <f t="array" aca="1" ref="S644" ca="1">IF(T644&lt;&gt;"", IFERROR((T644 - MAX(_xlfn._xlws.FILTER(T$2:T643, N$2:N643 = "yes"))) * 24 * 60, ""), "")</f>
        <v/>
      </c>
      <c r="T644" s="2" t="str">
        <f t="shared" ca="1" si="21"/>
        <v/>
      </c>
      <c r="U644" s="2" t="str" cm="1">
        <f t="array" ref="U644">IF(N644&lt;&gt;"yes", "", IFERROR((T644 - INDEX(T$2:T644, MATCH(TRUE, INDEX((T$2:T644&lt;&gt;"")*(N$2:N644="yes"), 0), 0))) * 1440 / COUNTIF(N$2:N644, "yes"), ""))</f>
        <v/>
      </c>
    </row>
    <row r="645" spans="18:21" x14ac:dyDescent="0.25">
      <c r="R645" s="2" t="str">
        <f t="shared" si="22"/>
        <v/>
      </c>
      <c r="S645" s="2" t="str" cm="1">
        <f t="array" aca="1" ref="S645" ca="1">IF(T645&lt;&gt;"", IFERROR((T645 - MAX(_xlfn._xlws.FILTER(T$2:T644, N$2:N644 = "yes"))) * 24 * 60, ""), "")</f>
        <v/>
      </c>
      <c r="T645" s="2" t="str">
        <f t="shared" ca="1" si="21"/>
        <v/>
      </c>
      <c r="U645" s="2" t="str" cm="1">
        <f t="array" ref="U645">IF(N645&lt;&gt;"yes", "", IFERROR((T645 - INDEX(T$2:T645, MATCH(TRUE, INDEX((T$2:T645&lt;&gt;"")*(N$2:N645="yes"), 0), 0))) * 1440 / COUNTIF(N$2:N645, "yes"), ""))</f>
        <v/>
      </c>
    </row>
    <row r="646" spans="18:21" x14ac:dyDescent="0.25">
      <c r="R646" s="2" t="str">
        <f t="shared" si="22"/>
        <v/>
      </c>
      <c r="S646" s="2" t="str" cm="1">
        <f t="array" aca="1" ref="S646" ca="1">IF(T646&lt;&gt;"", IFERROR((T646 - MAX(_xlfn._xlws.FILTER(T$2:T645, N$2:N645 = "yes"))) * 24 * 60, ""), "")</f>
        <v/>
      </c>
      <c r="T646" s="2" t="str">
        <f t="shared" ca="1" si="21"/>
        <v/>
      </c>
      <c r="U646" s="2" t="str" cm="1">
        <f t="array" ref="U646">IF(N646&lt;&gt;"yes", "", IFERROR((T646 - INDEX(T$2:T646, MATCH(TRUE, INDEX((T$2:T646&lt;&gt;"")*(N$2:N646="yes"), 0), 0))) * 1440 / COUNTIF(N$2:N646, "yes"), ""))</f>
        <v/>
      </c>
    </row>
    <row r="647" spans="18:21" x14ac:dyDescent="0.25">
      <c r="R647" s="2" t="str">
        <f t="shared" si="22"/>
        <v/>
      </c>
      <c r="S647" s="2" t="str" cm="1">
        <f t="array" aca="1" ref="S647" ca="1">IF(T647&lt;&gt;"", IFERROR((T647 - MAX(_xlfn._xlws.FILTER(T$2:T646, N$2:N646 = "yes"))) * 24 * 60, ""), "")</f>
        <v/>
      </c>
      <c r="T647" s="2" t="str">
        <f t="shared" ca="1" si="21"/>
        <v/>
      </c>
      <c r="U647" s="2" t="str" cm="1">
        <f t="array" ref="U647">IF(N647&lt;&gt;"yes", "", IFERROR((T647 - INDEX(T$2:T647, MATCH(TRUE, INDEX((T$2:T647&lt;&gt;"")*(N$2:N647="yes"), 0), 0))) * 1440 / COUNTIF(N$2:N647, "yes"), ""))</f>
        <v/>
      </c>
    </row>
    <row r="648" spans="18:21" x14ac:dyDescent="0.25">
      <c r="R648" s="2" t="str">
        <f t="shared" si="22"/>
        <v/>
      </c>
      <c r="S648" s="2" t="str" cm="1">
        <f t="array" aca="1" ref="S648" ca="1">IF(T648&lt;&gt;"", IFERROR((T648 - MAX(_xlfn._xlws.FILTER(T$2:T647, N$2:N647 = "yes"))) * 24 * 60, ""), "")</f>
        <v/>
      </c>
      <c r="T648" s="2" t="str">
        <f t="shared" ca="1" si="21"/>
        <v/>
      </c>
      <c r="U648" s="2" t="str" cm="1">
        <f t="array" ref="U648">IF(N648&lt;&gt;"yes", "", IFERROR((T648 - INDEX(T$2:T648, MATCH(TRUE, INDEX((T$2:T648&lt;&gt;"")*(N$2:N648="yes"), 0), 0))) * 1440 / COUNTIF(N$2:N648, "yes"), ""))</f>
        <v/>
      </c>
    </row>
    <row r="649" spans="18:21" x14ac:dyDescent="0.25">
      <c r="R649" s="2" t="str">
        <f t="shared" si="22"/>
        <v/>
      </c>
      <c r="S649" s="2" t="str" cm="1">
        <f t="array" aca="1" ref="S649" ca="1">IF(T649&lt;&gt;"", IFERROR((T649 - MAX(_xlfn._xlws.FILTER(T$2:T648, N$2:N648 = "yes"))) * 24 * 60, ""), "")</f>
        <v/>
      </c>
      <c r="T649" s="2" t="str">
        <f t="shared" ca="1" si="21"/>
        <v/>
      </c>
      <c r="U649" s="2" t="str" cm="1">
        <f t="array" ref="U649">IF(N649&lt;&gt;"yes", "", IFERROR((T649 - INDEX(T$2:T649, MATCH(TRUE, INDEX((T$2:T649&lt;&gt;"")*(N$2:N649="yes"), 0), 0))) * 1440 / COUNTIF(N$2:N649, "yes"), ""))</f>
        <v/>
      </c>
    </row>
    <row r="650" spans="18:21" x14ac:dyDescent="0.25">
      <c r="R650" s="2" t="str">
        <f t="shared" si="22"/>
        <v/>
      </c>
      <c r="S650" s="2" t="str" cm="1">
        <f t="array" aca="1" ref="S650" ca="1">IF(T650&lt;&gt;"", IFERROR((T650 - MAX(_xlfn._xlws.FILTER(T$2:T649, N$2:N649 = "yes"))) * 24 * 60, ""), "")</f>
        <v/>
      </c>
      <c r="T650" s="2" t="str">
        <f t="shared" ca="1" si="21"/>
        <v/>
      </c>
      <c r="U650" s="2" t="str" cm="1">
        <f t="array" ref="U650">IF(N650&lt;&gt;"yes", "", IFERROR((T650 - INDEX(T$2:T650, MATCH(TRUE, INDEX((T$2:T650&lt;&gt;"")*(N$2:N650="yes"), 0), 0))) * 1440 / COUNTIF(N$2:N650, "yes"), ""))</f>
        <v/>
      </c>
    </row>
    <row r="651" spans="18:21" x14ac:dyDescent="0.25">
      <c r="R651" s="2" t="str">
        <f t="shared" si="22"/>
        <v/>
      </c>
      <c r="S651" s="2" t="str" cm="1">
        <f t="array" aca="1" ref="S651" ca="1">IF(T651&lt;&gt;"", IFERROR((T651 - MAX(_xlfn._xlws.FILTER(T$2:T650, N$2:N650 = "yes"))) * 24 * 60, ""), "")</f>
        <v/>
      </c>
      <c r="T651" s="2" t="str">
        <f t="shared" ca="1" si="21"/>
        <v/>
      </c>
      <c r="U651" s="2" t="str" cm="1">
        <f t="array" ref="U651">IF(N651&lt;&gt;"yes", "", IFERROR((T651 - INDEX(T$2:T651, MATCH(TRUE, INDEX((T$2:T651&lt;&gt;"")*(N$2:N651="yes"), 0), 0))) * 1440 / COUNTIF(N$2:N651, "yes"), ""))</f>
        <v/>
      </c>
    </row>
    <row r="652" spans="18:21" x14ac:dyDescent="0.25">
      <c r="R652" s="2" t="str">
        <f t="shared" si="22"/>
        <v/>
      </c>
      <c r="S652" s="2" t="str" cm="1">
        <f t="array" aca="1" ref="S652" ca="1">IF(T652&lt;&gt;"", IFERROR((T652 - MAX(_xlfn._xlws.FILTER(T$2:T651, N$2:N651 = "yes"))) * 24 * 60, ""), "")</f>
        <v/>
      </c>
      <c r="T652" s="2" t="str">
        <f t="shared" ca="1" si="21"/>
        <v/>
      </c>
      <c r="U652" s="2" t="str" cm="1">
        <f t="array" ref="U652">IF(N652&lt;&gt;"yes", "", IFERROR((T652 - INDEX(T$2:T652, MATCH(TRUE, INDEX((T$2:T652&lt;&gt;"")*(N$2:N652="yes"), 0), 0))) * 1440 / COUNTIF(N$2:N652, "yes"), ""))</f>
        <v/>
      </c>
    </row>
    <row r="653" spans="18:21" x14ac:dyDescent="0.25">
      <c r="R653" s="2" t="str">
        <f t="shared" si="22"/>
        <v/>
      </c>
      <c r="S653" s="2" t="str" cm="1">
        <f t="array" aca="1" ref="S653" ca="1">IF(T653&lt;&gt;"", IFERROR((T653 - MAX(_xlfn._xlws.FILTER(T$2:T652, N$2:N652 = "yes"))) * 24 * 60, ""), "")</f>
        <v/>
      </c>
      <c r="T653" s="2" t="str">
        <f t="shared" ca="1" si="21"/>
        <v/>
      </c>
      <c r="U653" s="2" t="str" cm="1">
        <f t="array" ref="U653">IF(N653&lt;&gt;"yes", "", IFERROR((T653 - INDEX(T$2:T653, MATCH(TRUE, INDEX((T$2:T653&lt;&gt;"")*(N$2:N653="yes"), 0), 0))) * 1440 / COUNTIF(N$2:N653, "yes"), ""))</f>
        <v/>
      </c>
    </row>
    <row r="654" spans="18:21" x14ac:dyDescent="0.25">
      <c r="R654" s="2" t="str">
        <f t="shared" si="22"/>
        <v/>
      </c>
      <c r="S654" s="2" t="str" cm="1">
        <f t="array" aca="1" ref="S654" ca="1">IF(T654&lt;&gt;"", IFERROR((T654 - MAX(_xlfn._xlws.FILTER(T$2:T653, N$2:N653 = "yes"))) * 24 * 60, ""), "")</f>
        <v/>
      </c>
      <c r="T654" s="2" t="str">
        <f t="shared" ca="1" si="21"/>
        <v/>
      </c>
      <c r="U654" s="2" t="str" cm="1">
        <f t="array" ref="U654">IF(N654&lt;&gt;"yes", "", IFERROR((T654 - INDEX(T$2:T654, MATCH(TRUE, INDEX((T$2:T654&lt;&gt;"")*(N$2:N654="yes"), 0), 0))) * 1440 / COUNTIF(N$2:N654, "yes"), ""))</f>
        <v/>
      </c>
    </row>
    <row r="655" spans="18:21" x14ac:dyDescent="0.25">
      <c r="R655" s="2" t="str">
        <f t="shared" si="22"/>
        <v/>
      </c>
      <c r="S655" s="2" t="str" cm="1">
        <f t="array" aca="1" ref="S655" ca="1">IF(T655&lt;&gt;"", IFERROR((T655 - MAX(_xlfn._xlws.FILTER(T$2:T654, N$2:N654 = "yes"))) * 24 * 60, ""), "")</f>
        <v/>
      </c>
      <c r="T655" s="2" t="str">
        <f t="shared" ca="1" si="21"/>
        <v/>
      </c>
      <c r="U655" s="2" t="str" cm="1">
        <f t="array" ref="U655">IF(N655&lt;&gt;"yes", "", IFERROR((T655 - INDEX(T$2:T655, MATCH(TRUE, INDEX((T$2:T655&lt;&gt;"")*(N$2:N655="yes"), 0), 0))) * 1440 / COUNTIF(N$2:N655, "yes"), ""))</f>
        <v/>
      </c>
    </row>
    <row r="656" spans="18:21" x14ac:dyDescent="0.25">
      <c r="R656" s="2" t="str">
        <f t="shared" si="22"/>
        <v/>
      </c>
      <c r="S656" s="2" t="str" cm="1">
        <f t="array" aca="1" ref="S656" ca="1">IF(T656&lt;&gt;"", IFERROR((T656 - MAX(_xlfn._xlws.FILTER(T$2:T655, N$2:N655 = "yes"))) * 24 * 60, ""), "")</f>
        <v/>
      </c>
      <c r="T656" s="2" t="str">
        <f t="shared" ca="1" si="21"/>
        <v/>
      </c>
      <c r="U656" s="2" t="str" cm="1">
        <f t="array" ref="U656">IF(N656&lt;&gt;"yes", "", IFERROR((T656 - INDEX(T$2:T656, MATCH(TRUE, INDEX((T$2:T656&lt;&gt;"")*(N$2:N656="yes"), 0), 0))) * 1440 / COUNTIF(N$2:N656, "yes"), ""))</f>
        <v/>
      </c>
    </row>
    <row r="657" spans="18:21" x14ac:dyDescent="0.25">
      <c r="R657" s="2" t="str">
        <f t="shared" si="22"/>
        <v/>
      </c>
      <c r="S657" s="2" t="str" cm="1">
        <f t="array" aca="1" ref="S657" ca="1">IF(T657&lt;&gt;"", IFERROR((T657 - MAX(_xlfn._xlws.FILTER(T$2:T656, N$2:N656 = "yes"))) * 24 * 60, ""), "")</f>
        <v/>
      </c>
      <c r="T657" s="2" t="str">
        <f t="shared" ca="1" si="21"/>
        <v/>
      </c>
      <c r="U657" s="2" t="str" cm="1">
        <f t="array" ref="U657">IF(N657&lt;&gt;"yes", "", IFERROR((T657 - INDEX(T$2:T657, MATCH(TRUE, INDEX((T$2:T657&lt;&gt;"")*(N$2:N657="yes"), 0), 0))) * 1440 / COUNTIF(N$2:N657, "yes"), ""))</f>
        <v/>
      </c>
    </row>
    <row r="658" spans="18:21" x14ac:dyDescent="0.25">
      <c r="R658" s="2" t="str">
        <f t="shared" si="22"/>
        <v/>
      </c>
      <c r="S658" s="2" t="str" cm="1">
        <f t="array" aca="1" ref="S658" ca="1">IF(T658&lt;&gt;"", IFERROR((T658 - MAX(_xlfn._xlws.FILTER(T$2:T657, N$2:N657 = "yes"))) * 24 * 60, ""), "")</f>
        <v/>
      </c>
      <c r="T658" s="2" t="str">
        <f t="shared" ca="1" si="21"/>
        <v/>
      </c>
      <c r="U658" s="2" t="str" cm="1">
        <f t="array" ref="U658">IF(N658&lt;&gt;"yes", "", IFERROR((T658 - INDEX(T$2:T658, MATCH(TRUE, INDEX((T$2:T658&lt;&gt;"")*(N$2:N658="yes"), 0), 0))) * 1440 / COUNTIF(N$2:N658, "yes"), ""))</f>
        <v/>
      </c>
    </row>
    <row r="659" spans="18:21" x14ac:dyDescent="0.25">
      <c r="R659" s="2" t="str">
        <f t="shared" si="22"/>
        <v/>
      </c>
      <c r="S659" s="2" t="str" cm="1">
        <f t="array" aca="1" ref="S659" ca="1">IF(T659&lt;&gt;"", IFERROR((T659 - MAX(_xlfn._xlws.FILTER(T$2:T658, N$2:N658 = "yes"))) * 24 * 60, ""), "")</f>
        <v/>
      </c>
      <c r="T659" s="2" t="str">
        <f t="shared" ca="1" si="21"/>
        <v/>
      </c>
      <c r="U659" s="2" t="str" cm="1">
        <f t="array" ref="U659">IF(N659&lt;&gt;"yes", "", IFERROR((T659 - INDEX(T$2:T659, MATCH(TRUE, INDEX((T$2:T659&lt;&gt;"")*(N$2:N659="yes"), 0), 0))) * 1440 / COUNTIF(N$2:N659, "yes"), ""))</f>
        <v/>
      </c>
    </row>
    <row r="660" spans="18:21" x14ac:dyDescent="0.25">
      <c r="R660" s="2" t="str">
        <f t="shared" si="22"/>
        <v/>
      </c>
      <c r="S660" s="2" t="str" cm="1">
        <f t="array" aca="1" ref="S660" ca="1">IF(T660&lt;&gt;"", IFERROR((T660 - MAX(_xlfn._xlws.FILTER(T$2:T659, N$2:N659 = "yes"))) * 24 * 60, ""), "")</f>
        <v/>
      </c>
      <c r="T660" s="2" t="str">
        <f t="shared" ca="1" si="21"/>
        <v/>
      </c>
      <c r="U660" s="2" t="str" cm="1">
        <f t="array" ref="U660">IF(N660&lt;&gt;"yes", "", IFERROR((T660 - INDEX(T$2:T660, MATCH(TRUE, INDEX((T$2:T660&lt;&gt;"")*(N$2:N660="yes"), 0), 0))) * 1440 / COUNTIF(N$2:N660, "yes"), ""))</f>
        <v/>
      </c>
    </row>
    <row r="661" spans="18:21" x14ac:dyDescent="0.25">
      <c r="R661" s="2" t="str">
        <f t="shared" si="22"/>
        <v/>
      </c>
      <c r="S661" s="2" t="str" cm="1">
        <f t="array" aca="1" ref="S661" ca="1">IF(T661&lt;&gt;"", IFERROR((T661 - MAX(_xlfn._xlws.FILTER(T$2:T660, N$2:N660 = "yes"))) * 24 * 60, ""), "")</f>
        <v/>
      </c>
      <c r="T661" s="2" t="str">
        <f t="shared" ca="1" si="21"/>
        <v/>
      </c>
      <c r="U661" s="2" t="str" cm="1">
        <f t="array" ref="U661">IF(N661&lt;&gt;"yes", "", IFERROR((T661 - INDEX(T$2:T661, MATCH(TRUE, INDEX((T$2:T661&lt;&gt;"")*(N$2:N661="yes"), 0), 0))) * 1440 / COUNTIF(N$2:N661, "yes"), ""))</f>
        <v/>
      </c>
    </row>
    <row r="662" spans="18:21" x14ac:dyDescent="0.25">
      <c r="R662" s="2" t="str">
        <f t="shared" si="22"/>
        <v/>
      </c>
      <c r="S662" s="2" t="str" cm="1">
        <f t="array" aca="1" ref="S662" ca="1">IF(T662&lt;&gt;"", IFERROR((T662 - MAX(_xlfn._xlws.FILTER(T$2:T661, N$2:N661 = "yes"))) * 24 * 60, ""), "")</f>
        <v/>
      </c>
      <c r="T662" s="2" t="str">
        <f t="shared" ca="1" si="21"/>
        <v/>
      </c>
      <c r="U662" s="2" t="str" cm="1">
        <f t="array" ref="U662">IF(N662&lt;&gt;"yes", "", IFERROR((T662 - INDEX(T$2:T662, MATCH(TRUE, INDEX((T$2:T662&lt;&gt;"")*(N$2:N662="yes"), 0), 0))) * 1440 / COUNTIF(N$2:N662, "yes"), ""))</f>
        <v/>
      </c>
    </row>
    <row r="663" spans="18:21" x14ac:dyDescent="0.25">
      <c r="R663" s="2" t="str">
        <f t="shared" si="22"/>
        <v/>
      </c>
      <c r="S663" s="2" t="str" cm="1">
        <f t="array" aca="1" ref="S663" ca="1">IF(T663&lt;&gt;"", IFERROR((T663 - MAX(_xlfn._xlws.FILTER(T$2:T662, N$2:N662 = "yes"))) * 24 * 60, ""), "")</f>
        <v/>
      </c>
      <c r="T663" s="2" t="str">
        <f t="shared" ca="1" si="21"/>
        <v/>
      </c>
      <c r="U663" s="2" t="str" cm="1">
        <f t="array" ref="U663">IF(N663&lt;&gt;"yes", "", IFERROR((T663 - INDEX(T$2:T663, MATCH(TRUE, INDEX((T$2:T663&lt;&gt;"")*(N$2:N663="yes"), 0), 0))) * 1440 / COUNTIF(N$2:N663, "yes"), ""))</f>
        <v/>
      </c>
    </row>
    <row r="664" spans="18:21" x14ac:dyDescent="0.25">
      <c r="R664" s="2" t="str">
        <f t="shared" si="22"/>
        <v/>
      </c>
      <c r="S664" s="2" t="str" cm="1">
        <f t="array" aca="1" ref="S664" ca="1">IF(T664&lt;&gt;"", IFERROR((T664 - MAX(_xlfn._xlws.FILTER(T$2:T663, N$2:N663 = "yes"))) * 24 * 60, ""), "")</f>
        <v/>
      </c>
      <c r="T664" s="2" t="str">
        <f t="shared" ca="1" si="21"/>
        <v/>
      </c>
      <c r="U664" s="2" t="str" cm="1">
        <f t="array" ref="U664">IF(N664&lt;&gt;"yes", "", IFERROR((T664 - INDEX(T$2:T664, MATCH(TRUE, INDEX((T$2:T664&lt;&gt;"")*(N$2:N664="yes"), 0), 0))) * 1440 / COUNTIF(N$2:N664, "yes"), ""))</f>
        <v/>
      </c>
    </row>
    <row r="665" spans="18:21" x14ac:dyDescent="0.25">
      <c r="R665" s="2" t="str">
        <f t="shared" si="22"/>
        <v/>
      </c>
      <c r="S665" s="2" t="str" cm="1">
        <f t="array" aca="1" ref="S665" ca="1">IF(T665&lt;&gt;"", IFERROR((T665 - MAX(_xlfn._xlws.FILTER(T$2:T664, N$2:N664 = "yes"))) * 24 * 60, ""), "")</f>
        <v/>
      </c>
      <c r="T665" s="2" t="str">
        <f t="shared" ca="1" si="21"/>
        <v/>
      </c>
      <c r="U665" s="2" t="str" cm="1">
        <f t="array" ref="U665">IF(N665&lt;&gt;"yes", "", IFERROR((T665 - INDEX(T$2:T665, MATCH(TRUE, INDEX((T$2:T665&lt;&gt;"")*(N$2:N665="yes"), 0), 0))) * 1440 / COUNTIF(N$2:N665, "yes"), ""))</f>
        <v/>
      </c>
    </row>
    <row r="666" spans="18:21" x14ac:dyDescent="0.25">
      <c r="R666" s="2" t="str">
        <f t="shared" si="22"/>
        <v/>
      </c>
      <c r="S666" s="2" t="str" cm="1">
        <f t="array" aca="1" ref="S666" ca="1">IF(T666&lt;&gt;"", IFERROR((T666 - MAX(_xlfn._xlws.FILTER(T$2:T665, N$2:N665 = "yes"))) * 24 * 60, ""), "")</f>
        <v/>
      </c>
      <c r="T666" s="2" t="str">
        <f t="shared" ca="1" si="21"/>
        <v/>
      </c>
      <c r="U666" s="2" t="str" cm="1">
        <f t="array" ref="U666">IF(N666&lt;&gt;"yes", "", IFERROR((T666 - INDEX(T$2:T666, MATCH(TRUE, INDEX((T$2:T666&lt;&gt;"")*(N$2:N666="yes"), 0), 0))) * 1440 / COUNTIF(N$2:N666, "yes"), ""))</f>
        <v/>
      </c>
    </row>
    <row r="667" spans="18:21" x14ac:dyDescent="0.25">
      <c r="R667" s="2" t="str">
        <f t="shared" si="22"/>
        <v/>
      </c>
      <c r="S667" s="2" t="str" cm="1">
        <f t="array" aca="1" ref="S667" ca="1">IF(T667&lt;&gt;"", IFERROR((T667 - MAX(_xlfn._xlws.FILTER(T$2:T666, N$2:N666 = "yes"))) * 24 * 60, ""), "")</f>
        <v/>
      </c>
      <c r="T667" s="2" t="str">
        <f t="shared" ca="1" si="21"/>
        <v/>
      </c>
      <c r="U667" s="2" t="str" cm="1">
        <f t="array" ref="U667">IF(N667&lt;&gt;"yes", "", IFERROR((T667 - INDEX(T$2:T667, MATCH(TRUE, INDEX((T$2:T667&lt;&gt;"")*(N$2:N667="yes"), 0), 0))) * 1440 / COUNTIF(N$2:N667, "yes"), ""))</f>
        <v/>
      </c>
    </row>
    <row r="668" spans="18:21" x14ac:dyDescent="0.25">
      <c r="R668" s="2" t="str">
        <f t="shared" si="22"/>
        <v/>
      </c>
      <c r="S668" s="2" t="str" cm="1">
        <f t="array" aca="1" ref="S668" ca="1">IF(T668&lt;&gt;"", IFERROR((T668 - MAX(_xlfn._xlws.FILTER(T$2:T667, N$2:N667 = "yes"))) * 24 * 60, ""), "")</f>
        <v/>
      </c>
      <c r="T668" s="2" t="str">
        <f t="shared" ca="1" si="21"/>
        <v/>
      </c>
      <c r="U668" s="2" t="str" cm="1">
        <f t="array" ref="U668">IF(N668&lt;&gt;"yes", "", IFERROR((T668 - INDEX(T$2:T668, MATCH(TRUE, INDEX((T$2:T668&lt;&gt;"")*(N$2:N668="yes"), 0), 0))) * 1440 / COUNTIF(N$2:N668, "yes"), ""))</f>
        <v/>
      </c>
    </row>
    <row r="669" spans="18:21" x14ac:dyDescent="0.25">
      <c r="R669" s="2" t="str">
        <f t="shared" si="22"/>
        <v/>
      </c>
      <c r="S669" s="2" t="str" cm="1">
        <f t="array" aca="1" ref="S669" ca="1">IF(T669&lt;&gt;"", IFERROR((T669 - MAX(_xlfn._xlws.FILTER(T$2:T668, N$2:N668 = "yes"))) * 24 * 60, ""), "")</f>
        <v/>
      </c>
      <c r="T669" s="2" t="str">
        <f t="shared" ca="1" si="21"/>
        <v/>
      </c>
      <c r="U669" s="2" t="str" cm="1">
        <f t="array" ref="U669">IF(N669&lt;&gt;"yes", "", IFERROR((T669 - INDEX(T$2:T669, MATCH(TRUE, INDEX((T$2:T669&lt;&gt;"")*(N$2:N669="yes"), 0), 0))) * 1440 / COUNTIF(N$2:N669, "yes"), ""))</f>
        <v/>
      </c>
    </row>
    <row r="670" spans="18:21" x14ac:dyDescent="0.25">
      <c r="R670" s="2" t="str">
        <f t="shared" si="22"/>
        <v/>
      </c>
      <c r="S670" s="2" t="str" cm="1">
        <f t="array" aca="1" ref="S670" ca="1">IF(T670&lt;&gt;"", IFERROR((T670 - MAX(_xlfn._xlws.FILTER(T$2:T669, N$2:N669 = "yes"))) * 24 * 60, ""), "")</f>
        <v/>
      </c>
      <c r="T670" s="2" t="str">
        <f t="shared" ca="1" si="21"/>
        <v/>
      </c>
      <c r="U670" s="2" t="str" cm="1">
        <f t="array" ref="U670">IF(N670&lt;&gt;"yes", "", IFERROR((T670 - INDEX(T$2:T670, MATCH(TRUE, INDEX((T$2:T670&lt;&gt;"")*(N$2:N670="yes"), 0), 0))) * 1440 / COUNTIF(N$2:N670, "yes"), ""))</f>
        <v/>
      </c>
    </row>
    <row r="671" spans="18:21" x14ac:dyDescent="0.25">
      <c r="R671" s="2" t="str">
        <f t="shared" si="22"/>
        <v/>
      </c>
      <c r="S671" s="2" t="str" cm="1">
        <f t="array" aca="1" ref="S671" ca="1">IF(T671&lt;&gt;"", IFERROR((T671 - MAX(_xlfn._xlws.FILTER(T$2:T670, N$2:N670 = "yes"))) * 24 * 60, ""), "")</f>
        <v/>
      </c>
      <c r="T671" s="2" t="str">
        <f t="shared" ca="1" si="21"/>
        <v/>
      </c>
      <c r="U671" s="2" t="str" cm="1">
        <f t="array" ref="U671">IF(N671&lt;&gt;"yes", "", IFERROR((T671 - INDEX(T$2:T671, MATCH(TRUE, INDEX((T$2:T671&lt;&gt;"")*(N$2:N671="yes"), 0), 0))) * 1440 / COUNTIF(N$2:N671, "yes"), ""))</f>
        <v/>
      </c>
    </row>
    <row r="672" spans="18:21" x14ac:dyDescent="0.25">
      <c r="R672" s="2" t="str">
        <f t="shared" si="22"/>
        <v/>
      </c>
      <c r="S672" s="2" t="str" cm="1">
        <f t="array" aca="1" ref="S672" ca="1">IF(T672&lt;&gt;"", IFERROR((T672 - MAX(_xlfn._xlws.FILTER(T$2:T671, N$2:N671 = "yes"))) * 24 * 60, ""), "")</f>
        <v/>
      </c>
      <c r="T672" s="2" t="str">
        <f t="shared" ca="1" si="21"/>
        <v/>
      </c>
      <c r="U672" s="2" t="str" cm="1">
        <f t="array" ref="U672">IF(N672&lt;&gt;"yes", "", IFERROR((T672 - INDEX(T$2:T672, MATCH(TRUE, INDEX((T$2:T672&lt;&gt;"")*(N$2:N672="yes"), 0), 0))) * 1440 / COUNTIF(N$2:N672, "yes"), ""))</f>
        <v/>
      </c>
    </row>
    <row r="673" spans="18:21" x14ac:dyDescent="0.25">
      <c r="R673" s="2" t="str">
        <f t="shared" si="22"/>
        <v/>
      </c>
      <c r="S673" s="2" t="str" cm="1">
        <f t="array" aca="1" ref="S673" ca="1">IF(T673&lt;&gt;"", IFERROR((T673 - MAX(_xlfn._xlws.FILTER(T$2:T672, N$2:N672 = "yes"))) * 24 * 60, ""), "")</f>
        <v/>
      </c>
      <c r="T673" s="2" t="str">
        <f t="shared" ca="1" si="21"/>
        <v/>
      </c>
      <c r="U673" s="2" t="str" cm="1">
        <f t="array" ref="U673">IF(N673&lt;&gt;"yes", "", IFERROR((T673 - INDEX(T$2:T673, MATCH(TRUE, INDEX((T$2:T673&lt;&gt;"")*(N$2:N673="yes"), 0), 0))) * 1440 / COUNTIF(N$2:N673, "yes"), ""))</f>
        <v/>
      </c>
    </row>
    <row r="674" spans="18:21" x14ac:dyDescent="0.25">
      <c r="R674" s="2" t="str">
        <f t="shared" si="22"/>
        <v/>
      </c>
      <c r="S674" s="2" t="str" cm="1">
        <f t="array" aca="1" ref="S674" ca="1">IF(T674&lt;&gt;"", IFERROR((T674 - MAX(_xlfn._xlws.FILTER(T$2:T673, N$2:N673 = "yes"))) * 24 * 60, ""), "")</f>
        <v/>
      </c>
      <c r="T674" s="2" t="str">
        <f t="shared" ca="1" si="21"/>
        <v/>
      </c>
      <c r="U674" s="2" t="str" cm="1">
        <f t="array" ref="U674">IF(N674&lt;&gt;"yes", "", IFERROR((T674 - INDEX(T$2:T674, MATCH(TRUE, INDEX((T$2:T674&lt;&gt;"")*(N$2:N674="yes"), 0), 0))) * 1440 / COUNTIF(N$2:N674, "yes"), ""))</f>
        <v/>
      </c>
    </row>
    <row r="675" spans="18:21" x14ac:dyDescent="0.25">
      <c r="R675" s="2" t="str">
        <f t="shared" si="22"/>
        <v/>
      </c>
      <c r="S675" s="2" t="str" cm="1">
        <f t="array" aca="1" ref="S675" ca="1">IF(T675&lt;&gt;"", IFERROR((T675 - MAX(_xlfn._xlws.FILTER(T$2:T674, N$2:N674 = "yes"))) * 24 * 60, ""), "")</f>
        <v/>
      </c>
      <c r="T675" s="2" t="str">
        <f t="shared" ca="1" si="21"/>
        <v/>
      </c>
      <c r="U675" s="2" t="str" cm="1">
        <f t="array" ref="U675">IF(N675&lt;&gt;"yes", "", IFERROR((T675 - INDEX(T$2:T675, MATCH(TRUE, INDEX((T$2:T675&lt;&gt;"")*(N$2:N675="yes"), 0), 0))) * 1440 / COUNTIF(N$2:N675, "yes"), ""))</f>
        <v/>
      </c>
    </row>
    <row r="676" spans="18:21" x14ac:dyDescent="0.25">
      <c r="R676" s="2" t="str">
        <f t="shared" si="22"/>
        <v/>
      </c>
      <c r="S676" s="2" t="str" cm="1">
        <f t="array" aca="1" ref="S676" ca="1">IF(T676&lt;&gt;"", IFERROR((T676 - MAX(_xlfn._xlws.FILTER(T$2:T675, N$2:N675 = "yes"))) * 24 * 60, ""), "")</f>
        <v/>
      </c>
      <c r="T676" s="2" t="str">
        <f t="shared" ca="1" si="21"/>
        <v/>
      </c>
      <c r="U676" s="2" t="str" cm="1">
        <f t="array" ref="U676">IF(N676&lt;&gt;"yes", "", IFERROR((T676 - INDEX(T$2:T676, MATCH(TRUE, INDEX((T$2:T676&lt;&gt;"")*(N$2:N676="yes"), 0), 0))) * 1440 / COUNTIF(N$2:N676, "yes"), ""))</f>
        <v/>
      </c>
    </row>
    <row r="677" spans="18:21" x14ac:dyDescent="0.25">
      <c r="R677" s="2" t="str">
        <f t="shared" si="22"/>
        <v/>
      </c>
      <c r="S677" s="2" t="str" cm="1">
        <f t="array" aca="1" ref="S677" ca="1">IF(T677&lt;&gt;"", IFERROR((T677 - MAX(_xlfn._xlws.FILTER(T$2:T676, N$2:N676 = "yes"))) * 24 * 60, ""), "")</f>
        <v/>
      </c>
      <c r="T677" s="2" t="str">
        <f t="shared" ca="1" si="21"/>
        <v/>
      </c>
      <c r="U677" s="2" t="str" cm="1">
        <f t="array" ref="U677">IF(N677&lt;&gt;"yes", "", IFERROR((T677 - INDEX(T$2:T677, MATCH(TRUE, INDEX((T$2:T677&lt;&gt;"")*(N$2:N677="yes"), 0), 0))) * 1440 / COUNTIF(N$2:N677, "yes"), ""))</f>
        <v/>
      </c>
    </row>
    <row r="678" spans="18:21" x14ac:dyDescent="0.25">
      <c r="R678" s="2" t="str">
        <f t="shared" si="22"/>
        <v/>
      </c>
      <c r="S678" s="2" t="str" cm="1">
        <f t="array" aca="1" ref="S678" ca="1">IF(T678&lt;&gt;"", IFERROR((T678 - MAX(_xlfn._xlws.FILTER(T$2:T677, N$2:N677 = "yes"))) * 24 * 60, ""), "")</f>
        <v/>
      </c>
      <c r="T678" s="2" t="str">
        <f t="shared" ca="1" si="21"/>
        <v/>
      </c>
      <c r="U678" s="2" t="str" cm="1">
        <f t="array" ref="U678">IF(N678&lt;&gt;"yes", "", IFERROR((T678 - INDEX(T$2:T678, MATCH(TRUE, INDEX((T$2:T678&lt;&gt;"")*(N$2:N678="yes"), 0), 0))) * 1440 / COUNTIF(N$2:N678, "yes"), ""))</f>
        <v/>
      </c>
    </row>
    <row r="679" spans="18:21" x14ac:dyDescent="0.25">
      <c r="R679" s="2" t="str">
        <f t="shared" si="22"/>
        <v/>
      </c>
      <c r="S679" s="2" t="str" cm="1">
        <f t="array" aca="1" ref="S679" ca="1">IF(T679&lt;&gt;"", IFERROR((T679 - MAX(_xlfn._xlws.FILTER(T$2:T678, N$2:N678 = "yes"))) * 24 * 60, ""), "")</f>
        <v/>
      </c>
      <c r="T679" s="2" t="str">
        <f t="shared" ca="1" si="21"/>
        <v/>
      </c>
      <c r="U679" s="2" t="str" cm="1">
        <f t="array" ref="U679">IF(N679&lt;&gt;"yes", "", IFERROR((T679 - INDEX(T$2:T679, MATCH(TRUE, INDEX((T$2:T679&lt;&gt;"")*(N$2:N679="yes"), 0), 0))) * 1440 / COUNTIF(N$2:N679, "yes"), ""))</f>
        <v/>
      </c>
    </row>
    <row r="680" spans="18:21" x14ac:dyDescent="0.25">
      <c r="R680" s="2" t="str">
        <f t="shared" si="22"/>
        <v/>
      </c>
      <c r="S680" s="2" t="str" cm="1">
        <f t="array" aca="1" ref="S680" ca="1">IF(T680&lt;&gt;"", IFERROR((T680 - MAX(_xlfn._xlws.FILTER(T$2:T679, N$2:N679 = "yes"))) * 24 * 60, ""), "")</f>
        <v/>
      </c>
      <c r="T680" s="2" t="str">
        <f t="shared" ca="1" si="21"/>
        <v/>
      </c>
      <c r="U680" s="2" t="str" cm="1">
        <f t="array" ref="U680">IF(N680&lt;&gt;"yes", "", IFERROR((T680 - INDEX(T$2:T680, MATCH(TRUE, INDEX((T$2:T680&lt;&gt;"")*(N$2:N680="yes"), 0), 0))) * 1440 / COUNTIF(N$2:N680, "yes"), ""))</f>
        <v/>
      </c>
    </row>
    <row r="681" spans="18:21" x14ac:dyDescent="0.25">
      <c r="R681" s="2" t="str">
        <f t="shared" si="22"/>
        <v/>
      </c>
      <c r="S681" s="2" t="str" cm="1">
        <f t="array" aca="1" ref="S681" ca="1">IF(T681&lt;&gt;"", IFERROR((T681 - MAX(_xlfn._xlws.FILTER(T$2:T680, N$2:N680 = "yes"))) * 24 * 60, ""), "")</f>
        <v/>
      </c>
      <c r="T681" s="2" t="str">
        <f t="shared" ca="1" si="21"/>
        <v/>
      </c>
      <c r="U681" s="2" t="str" cm="1">
        <f t="array" ref="U681">IF(N681&lt;&gt;"yes", "", IFERROR((T681 - INDEX(T$2:T681, MATCH(TRUE, INDEX((T$2:T681&lt;&gt;"")*(N$2:N681="yes"), 0), 0))) * 1440 / COUNTIF(N$2:N681, "yes"), ""))</f>
        <v/>
      </c>
    </row>
    <row r="682" spans="18:21" x14ac:dyDescent="0.25">
      <c r="R682" s="2" t="str">
        <f t="shared" si="22"/>
        <v/>
      </c>
      <c r="S682" s="2" t="str" cm="1">
        <f t="array" aca="1" ref="S682" ca="1">IF(T682&lt;&gt;"", IFERROR((T682 - MAX(_xlfn._xlws.FILTER(T$2:T681, N$2:N681 = "yes"))) * 24 * 60, ""), "")</f>
        <v/>
      </c>
      <c r="T682" s="2" t="str">
        <f t="shared" ca="1" si="21"/>
        <v/>
      </c>
      <c r="U682" s="2" t="str" cm="1">
        <f t="array" ref="U682">IF(N682&lt;&gt;"yes", "", IFERROR((T682 - INDEX(T$2:T682, MATCH(TRUE, INDEX((T$2:T682&lt;&gt;"")*(N$2:N682="yes"), 0), 0))) * 1440 / COUNTIF(N$2:N682, "yes"), ""))</f>
        <v/>
      </c>
    </row>
    <row r="683" spans="18:21" x14ac:dyDescent="0.25">
      <c r="R683" s="2" t="str">
        <f t="shared" si="22"/>
        <v/>
      </c>
      <c r="S683" s="2" t="str" cm="1">
        <f t="array" aca="1" ref="S683" ca="1">IF(T683&lt;&gt;"", IFERROR((T683 - MAX(_xlfn._xlws.FILTER(T$2:T682, N$2:N682 = "yes"))) * 24 * 60, ""), "")</f>
        <v/>
      </c>
      <c r="T683" s="2" t="str">
        <f t="shared" ca="1" si="21"/>
        <v/>
      </c>
      <c r="U683" s="2" t="str" cm="1">
        <f t="array" ref="U683">IF(N683&lt;&gt;"yes", "", IFERROR((T683 - INDEX(T$2:T683, MATCH(TRUE, INDEX((T$2:T683&lt;&gt;"")*(N$2:N683="yes"), 0), 0))) * 1440 / COUNTIF(N$2:N683, "yes"), ""))</f>
        <v/>
      </c>
    </row>
    <row r="684" spans="18:21" x14ac:dyDescent="0.25">
      <c r="R684" s="2" t="str">
        <f t="shared" si="22"/>
        <v/>
      </c>
      <c r="S684" s="2" t="str" cm="1">
        <f t="array" aca="1" ref="S684" ca="1">IF(T684&lt;&gt;"", IFERROR((T684 - MAX(_xlfn._xlws.FILTER(T$2:T683, N$2:N683 = "yes"))) * 24 * 60, ""), "")</f>
        <v/>
      </c>
      <c r="T684" s="2" t="str">
        <f t="shared" ca="1" si="21"/>
        <v/>
      </c>
      <c r="U684" s="2" t="str" cm="1">
        <f t="array" ref="U684">IF(N684&lt;&gt;"yes", "", IFERROR((T684 - INDEX(T$2:T684, MATCH(TRUE, INDEX((T$2:T684&lt;&gt;"")*(N$2:N684="yes"), 0), 0))) * 1440 / COUNTIF(N$2:N684, "yes"), ""))</f>
        <v/>
      </c>
    </row>
    <row r="685" spans="18:21" x14ac:dyDescent="0.25">
      <c r="R685" s="2" t="str">
        <f t="shared" si="22"/>
        <v/>
      </c>
      <c r="S685" s="2" t="str" cm="1">
        <f t="array" aca="1" ref="S685" ca="1">IF(T685&lt;&gt;"", IFERROR((T685 - MAX(_xlfn._xlws.FILTER(T$2:T684, N$2:N684 = "yes"))) * 24 * 60, ""), "")</f>
        <v/>
      </c>
      <c r="T685" s="2" t="str">
        <f t="shared" ca="1" si="21"/>
        <v/>
      </c>
      <c r="U685" s="2" t="str" cm="1">
        <f t="array" ref="U685">IF(N685&lt;&gt;"yes", "", IFERROR((T685 - INDEX(T$2:T685, MATCH(TRUE, INDEX((T$2:T685&lt;&gt;"")*(N$2:N685="yes"), 0), 0))) * 1440 / COUNTIF(N$2:N685, "yes"), ""))</f>
        <v/>
      </c>
    </row>
    <row r="686" spans="18:21" x14ac:dyDescent="0.25">
      <c r="R686" s="2" t="str">
        <f t="shared" si="22"/>
        <v/>
      </c>
      <c r="S686" s="2" t="str" cm="1">
        <f t="array" aca="1" ref="S686" ca="1">IF(T686&lt;&gt;"", IFERROR((T686 - MAX(_xlfn._xlws.FILTER(T$2:T685, N$2:N685 = "yes"))) * 24 * 60, ""), "")</f>
        <v/>
      </c>
      <c r="T686" s="2" t="str">
        <f t="shared" ca="1" si="21"/>
        <v/>
      </c>
      <c r="U686" s="2" t="str" cm="1">
        <f t="array" ref="U686">IF(N686&lt;&gt;"yes", "", IFERROR((T686 - INDEX(T$2:T686, MATCH(TRUE, INDEX((T$2:T686&lt;&gt;"")*(N$2:N686="yes"), 0), 0))) * 1440 / COUNTIF(N$2:N686, "yes"), ""))</f>
        <v/>
      </c>
    </row>
    <row r="687" spans="18:21" x14ac:dyDescent="0.25">
      <c r="R687" s="2" t="str">
        <f t="shared" si="22"/>
        <v/>
      </c>
      <c r="S687" s="2" t="str" cm="1">
        <f t="array" aca="1" ref="S687" ca="1">IF(T687&lt;&gt;"", IFERROR((T687 - MAX(_xlfn._xlws.FILTER(T$2:T686, N$2:N686 = "yes"))) * 24 * 60, ""), "")</f>
        <v/>
      </c>
      <c r="T687" s="2" t="str">
        <f t="shared" ca="1" si="21"/>
        <v/>
      </c>
      <c r="U687" s="2" t="str" cm="1">
        <f t="array" ref="U687">IF(N687&lt;&gt;"yes", "", IFERROR((T687 - INDEX(T$2:T687, MATCH(TRUE, INDEX((T$2:T687&lt;&gt;"")*(N$2:N687="yes"), 0), 0))) * 1440 / COUNTIF(N$2:N687, "yes"), ""))</f>
        <v/>
      </c>
    </row>
    <row r="688" spans="18:21" x14ac:dyDescent="0.25">
      <c r="R688" s="2" t="str">
        <f t="shared" si="22"/>
        <v/>
      </c>
      <c r="S688" s="2" t="str" cm="1">
        <f t="array" aca="1" ref="S688" ca="1">IF(T688&lt;&gt;"", IFERROR((T688 - MAX(_xlfn._xlws.FILTER(T$2:T687, N$2:N687 = "yes"))) * 24 * 60, ""), "")</f>
        <v/>
      </c>
      <c r="T688" s="2" t="str">
        <f t="shared" ca="1" si="21"/>
        <v/>
      </c>
      <c r="U688" s="2" t="str" cm="1">
        <f t="array" ref="U688">IF(N688&lt;&gt;"yes", "", IFERROR((T688 - INDEX(T$2:T688, MATCH(TRUE, INDEX((T$2:T688&lt;&gt;"")*(N$2:N688="yes"), 0), 0))) * 1440 / COUNTIF(N$2:N688, "yes"), ""))</f>
        <v/>
      </c>
    </row>
    <row r="689" spans="18:21" x14ac:dyDescent="0.25">
      <c r="R689" s="2" t="str">
        <f t="shared" si="22"/>
        <v/>
      </c>
      <c r="S689" s="2" t="str" cm="1">
        <f t="array" aca="1" ref="S689" ca="1">IF(T689&lt;&gt;"", IFERROR((T689 - MAX(_xlfn._xlws.FILTER(T$2:T688, N$2:N688 = "yes"))) * 24 * 60, ""), "")</f>
        <v/>
      </c>
      <c r="T689" s="2" t="str">
        <f t="shared" ca="1" si="21"/>
        <v/>
      </c>
      <c r="U689" s="2" t="str" cm="1">
        <f t="array" ref="U689">IF(N689&lt;&gt;"yes", "", IFERROR((T689 - INDEX(T$2:T689, MATCH(TRUE, INDEX((T$2:T689&lt;&gt;"")*(N$2:N689="yes"), 0), 0))) * 1440 / COUNTIF(N$2:N689, "yes"), ""))</f>
        <v/>
      </c>
    </row>
    <row r="690" spans="18:21" x14ac:dyDescent="0.25">
      <c r="R690" s="2" t="str">
        <f t="shared" si="22"/>
        <v/>
      </c>
      <c r="S690" s="2" t="str" cm="1">
        <f t="array" aca="1" ref="S690" ca="1">IF(T690&lt;&gt;"", IFERROR((T690 - MAX(_xlfn._xlws.FILTER(T$2:T689, N$2:N689 = "yes"))) * 24 * 60, ""), "")</f>
        <v/>
      </c>
      <c r="T690" s="2" t="str">
        <f t="shared" ca="1" si="21"/>
        <v/>
      </c>
      <c r="U690" s="2" t="str" cm="1">
        <f t="array" ref="U690">IF(N690&lt;&gt;"yes", "", IFERROR((T690 - INDEX(T$2:T690, MATCH(TRUE, INDEX((T$2:T690&lt;&gt;"")*(N$2:N690="yes"), 0), 0))) * 1440 / COUNTIF(N$2:N690, "yes"), ""))</f>
        <v/>
      </c>
    </row>
    <row r="691" spans="18:21" x14ac:dyDescent="0.25">
      <c r="R691" s="2" t="str">
        <f t="shared" si="22"/>
        <v/>
      </c>
      <c r="S691" s="2" t="str" cm="1">
        <f t="array" aca="1" ref="S691" ca="1">IF(T691&lt;&gt;"", IFERROR((T691 - MAX(_xlfn._xlws.FILTER(T$2:T690, N$2:N690 = "yes"))) * 24 * 60, ""), "")</f>
        <v/>
      </c>
      <c r="T691" s="2" t="str">
        <f t="shared" ca="1" si="21"/>
        <v/>
      </c>
      <c r="U691" s="2" t="str" cm="1">
        <f t="array" ref="U691">IF(N691&lt;&gt;"yes", "", IFERROR((T691 - INDEX(T$2:T691, MATCH(TRUE, INDEX((T$2:T691&lt;&gt;"")*(N$2:N691="yes"), 0), 0))) * 1440 / COUNTIF(N$2:N691, "yes"), ""))</f>
        <v/>
      </c>
    </row>
    <row r="692" spans="18:21" x14ac:dyDescent="0.25">
      <c r="R692" s="2" t="str">
        <f t="shared" si="22"/>
        <v/>
      </c>
      <c r="S692" s="2" t="str" cm="1">
        <f t="array" aca="1" ref="S692" ca="1">IF(T692&lt;&gt;"", IFERROR((T692 - MAX(_xlfn._xlws.FILTER(T$2:T691, N$2:N691 = "yes"))) * 24 * 60, ""), "")</f>
        <v/>
      </c>
      <c r="T692" s="2" t="str">
        <f t="shared" ca="1" si="21"/>
        <v/>
      </c>
      <c r="U692" s="2" t="str" cm="1">
        <f t="array" ref="U692">IF(N692&lt;&gt;"yes", "", IFERROR((T692 - INDEX(T$2:T692, MATCH(TRUE, INDEX((T$2:T692&lt;&gt;"")*(N$2:N692="yes"), 0), 0))) * 1440 / COUNTIF(N$2:N692, "yes"), ""))</f>
        <v/>
      </c>
    </row>
    <row r="693" spans="18:21" x14ac:dyDescent="0.25">
      <c r="R693" s="2" t="str">
        <f t="shared" si="22"/>
        <v/>
      </c>
      <c r="S693" s="2" t="str" cm="1">
        <f t="array" aca="1" ref="S693" ca="1">IF(T693&lt;&gt;"", IFERROR((T693 - MAX(_xlfn._xlws.FILTER(T$2:T692, N$2:N692 = "yes"))) * 24 * 60, ""), "")</f>
        <v/>
      </c>
      <c r="T693" s="2" t="str">
        <f t="shared" ca="1" si="21"/>
        <v/>
      </c>
      <c r="U693" s="2" t="str" cm="1">
        <f t="array" ref="U693">IF(N693&lt;&gt;"yes", "", IFERROR((T693 - INDEX(T$2:T693, MATCH(TRUE, INDEX((T$2:T693&lt;&gt;"")*(N$2:N693="yes"), 0), 0))) * 1440 / COUNTIF(N$2:N693, "yes"), ""))</f>
        <v/>
      </c>
    </row>
    <row r="694" spans="18:21" x14ac:dyDescent="0.25">
      <c r="R694" s="2" t="str">
        <f t="shared" si="22"/>
        <v/>
      </c>
      <c r="S694" s="2" t="str" cm="1">
        <f t="array" aca="1" ref="S694" ca="1">IF(T694&lt;&gt;"", IFERROR((T694 - MAX(_xlfn._xlws.FILTER(T$2:T693, N$2:N693 = "yes"))) * 24 * 60, ""), "")</f>
        <v/>
      </c>
      <c r="T694" s="2" t="str">
        <f t="shared" ca="1" si="21"/>
        <v/>
      </c>
      <c r="U694" s="2" t="str" cm="1">
        <f t="array" ref="U694">IF(N694&lt;&gt;"yes", "", IFERROR((T694 - INDEX(T$2:T694, MATCH(TRUE, INDEX((T$2:T694&lt;&gt;"")*(N$2:N694="yes"), 0), 0))) * 1440 / COUNTIF(N$2:N694, "yes"), ""))</f>
        <v/>
      </c>
    </row>
    <row r="695" spans="18:21" x14ac:dyDescent="0.25">
      <c r="R695" s="2" t="str">
        <f t="shared" si="22"/>
        <v/>
      </c>
      <c r="S695" s="2" t="str" cm="1">
        <f t="array" aca="1" ref="S695" ca="1">IF(T695&lt;&gt;"", IFERROR((T695 - MAX(_xlfn._xlws.FILTER(T$2:T694, N$2:N694 = "yes"))) * 24 * 60, ""), "")</f>
        <v/>
      </c>
      <c r="T695" s="2" t="str">
        <f t="shared" ca="1" si="21"/>
        <v/>
      </c>
      <c r="U695" s="2" t="str" cm="1">
        <f t="array" ref="U695">IF(N695&lt;&gt;"yes", "", IFERROR((T695 - INDEX(T$2:T695, MATCH(TRUE, INDEX((T$2:T695&lt;&gt;"")*(N$2:N695="yes"), 0), 0))) * 1440 / COUNTIF(N$2:N695, "yes"), ""))</f>
        <v/>
      </c>
    </row>
    <row r="696" spans="18:21" x14ac:dyDescent="0.25">
      <c r="R696" s="2" t="str">
        <f t="shared" si="22"/>
        <v/>
      </c>
      <c r="S696" s="2" t="str" cm="1">
        <f t="array" aca="1" ref="S696" ca="1">IF(T696&lt;&gt;"", IFERROR((T696 - MAX(_xlfn._xlws.FILTER(T$2:T695, N$2:N695 = "yes"))) * 24 * 60, ""), "")</f>
        <v/>
      </c>
      <c r="T696" s="2" t="str">
        <f t="shared" ca="1" si="21"/>
        <v/>
      </c>
      <c r="U696" s="2" t="str" cm="1">
        <f t="array" ref="U696">IF(N696&lt;&gt;"yes", "", IFERROR((T696 - INDEX(T$2:T696, MATCH(TRUE, INDEX((T$2:T696&lt;&gt;"")*(N$2:N696="yes"), 0), 0))) * 1440 / COUNTIF(N$2:N696, "yes"), ""))</f>
        <v/>
      </c>
    </row>
    <row r="697" spans="18:21" x14ac:dyDescent="0.25">
      <c r="R697" s="2" t="str">
        <f t="shared" si="22"/>
        <v/>
      </c>
      <c r="S697" s="2" t="str" cm="1">
        <f t="array" aca="1" ref="S697" ca="1">IF(T697&lt;&gt;"", IFERROR((T697 - MAX(_xlfn._xlws.FILTER(T$2:T696, N$2:N696 = "yes"))) * 24 * 60, ""), "")</f>
        <v/>
      </c>
      <c r="T697" s="2" t="str">
        <f t="shared" ca="1" si="21"/>
        <v/>
      </c>
      <c r="U697" s="2" t="str" cm="1">
        <f t="array" ref="U697">IF(N697&lt;&gt;"yes", "", IFERROR((T697 - INDEX(T$2:T697, MATCH(TRUE, INDEX((T$2:T697&lt;&gt;"")*(N$2:N697="yes"), 0), 0))) * 1440 / COUNTIF(N$2:N697, "yes"), ""))</f>
        <v/>
      </c>
    </row>
    <row r="698" spans="18:21" x14ac:dyDescent="0.25">
      <c r="R698" s="2" t="str">
        <f t="shared" si="22"/>
        <v/>
      </c>
      <c r="S698" s="2" t="str" cm="1">
        <f t="array" aca="1" ref="S698" ca="1">IF(T698&lt;&gt;"", IFERROR((T698 - MAX(_xlfn._xlws.FILTER(T$2:T697, N$2:N697 = "yes"))) * 24 * 60, ""), "")</f>
        <v/>
      </c>
      <c r="T698" s="2" t="str">
        <f t="shared" ca="1" si="21"/>
        <v/>
      </c>
      <c r="U698" s="2" t="str" cm="1">
        <f t="array" ref="U698">IF(N698&lt;&gt;"yes", "", IFERROR((T698 - INDEX(T$2:T698, MATCH(TRUE, INDEX((T$2:T698&lt;&gt;"")*(N$2:N698="yes"), 0), 0))) * 1440 / COUNTIF(N$2:N698, "yes"), ""))</f>
        <v/>
      </c>
    </row>
    <row r="699" spans="18:21" x14ac:dyDescent="0.25">
      <c r="R699" s="2" t="str">
        <f t="shared" si="22"/>
        <v/>
      </c>
      <c r="S699" s="2" t="str" cm="1">
        <f t="array" aca="1" ref="S699" ca="1">IF(T699&lt;&gt;"", IFERROR((T699 - MAX(_xlfn._xlws.FILTER(T$2:T698, N$2:N698 = "yes"))) * 24 * 60, ""), "")</f>
        <v/>
      </c>
      <c r="T699" s="2" t="str">
        <f t="shared" ca="1" si="21"/>
        <v/>
      </c>
      <c r="U699" s="2" t="str" cm="1">
        <f t="array" ref="U699">IF(N699&lt;&gt;"yes", "", IFERROR((T699 - INDEX(T$2:T699, MATCH(TRUE, INDEX((T$2:T699&lt;&gt;"")*(N$2:N699="yes"), 0), 0))) * 1440 / COUNTIF(N$2:N699, "yes"), ""))</f>
        <v/>
      </c>
    </row>
    <row r="700" spans="18:21" x14ac:dyDescent="0.25">
      <c r="R700" s="2" t="str">
        <f t="shared" si="22"/>
        <v/>
      </c>
      <c r="S700" s="2" t="str" cm="1">
        <f t="array" aca="1" ref="S700" ca="1">IF(T700&lt;&gt;"", IFERROR((T700 - MAX(_xlfn._xlws.FILTER(T$2:T699, N$2:N699 = "yes"))) * 24 * 60, ""), "")</f>
        <v/>
      </c>
      <c r="T700" s="2" t="str">
        <f t="shared" ca="1" si="21"/>
        <v/>
      </c>
      <c r="U700" s="2" t="str" cm="1">
        <f t="array" ref="U700">IF(N700&lt;&gt;"yes", "", IFERROR((T700 - INDEX(T$2:T700, MATCH(TRUE, INDEX((T$2:T700&lt;&gt;"")*(N$2:N700="yes"), 0), 0))) * 1440 / COUNTIF(N$2:N700, "yes"), ""))</f>
        <v/>
      </c>
    </row>
    <row r="701" spans="18:21" x14ac:dyDescent="0.25">
      <c r="R701" s="2" t="str">
        <f t="shared" si="22"/>
        <v/>
      </c>
      <c r="S701" s="2" t="str" cm="1">
        <f t="array" aca="1" ref="S701" ca="1">IF(T701&lt;&gt;"", IFERROR((T701 - MAX(_xlfn._xlws.FILTER(T$2:T700, N$2:N700 = "yes"))) * 24 * 60, ""), "")</f>
        <v/>
      </c>
      <c r="T701" s="2" t="str">
        <f t="shared" ca="1" si="21"/>
        <v/>
      </c>
      <c r="U701" s="2" t="str" cm="1">
        <f t="array" ref="U701">IF(N701&lt;&gt;"yes", "", IFERROR((T701 - INDEX(T$2:T701, MATCH(TRUE, INDEX((T$2:T701&lt;&gt;"")*(N$2:N701="yes"), 0), 0))) * 1440 / COUNTIF(N$2:N701, "yes"), ""))</f>
        <v/>
      </c>
    </row>
    <row r="702" spans="18:21" x14ac:dyDescent="0.25">
      <c r="R702" s="2" t="str">
        <f t="shared" si="22"/>
        <v/>
      </c>
      <c r="S702" s="2" t="str" cm="1">
        <f t="array" aca="1" ref="S702" ca="1">IF(T702&lt;&gt;"", IFERROR((T702 - MAX(_xlfn._xlws.FILTER(T$2:T701, N$2:N701 = "yes"))) * 24 * 60, ""), "")</f>
        <v/>
      </c>
      <c r="T702" s="2" t="str">
        <f t="shared" ca="1" si="21"/>
        <v/>
      </c>
      <c r="U702" s="2" t="str" cm="1">
        <f t="array" ref="U702">IF(N702&lt;&gt;"yes", "", IFERROR((T702 - INDEX(T$2:T702, MATCH(TRUE, INDEX((T$2:T702&lt;&gt;"")*(N$2:N702="yes"), 0), 0))) * 1440 / COUNTIF(N$2:N702, "yes"), ""))</f>
        <v/>
      </c>
    </row>
    <row r="703" spans="18:21" x14ac:dyDescent="0.25">
      <c r="R703" s="2" t="str">
        <f t="shared" si="22"/>
        <v/>
      </c>
      <c r="S703" s="2" t="str" cm="1">
        <f t="array" aca="1" ref="S703" ca="1">IF(T703&lt;&gt;"", IFERROR((T703 - MAX(_xlfn._xlws.FILTER(T$2:T702, N$2:N702 = "yes"))) * 24 * 60, ""), "")</f>
        <v/>
      </c>
      <c r="T703" s="2" t="str">
        <f t="shared" ca="1" si="21"/>
        <v/>
      </c>
      <c r="U703" s="2" t="str" cm="1">
        <f t="array" ref="U703">IF(N703&lt;&gt;"yes", "", IFERROR((T703 - INDEX(T$2:T703, MATCH(TRUE, INDEX((T$2:T703&lt;&gt;"")*(N$2:N703="yes"), 0), 0))) * 1440 / COUNTIF(N$2:N703, "yes"), ""))</f>
        <v/>
      </c>
    </row>
    <row r="704" spans="18:21" x14ac:dyDescent="0.25">
      <c r="R704" s="2" t="str">
        <f t="shared" si="22"/>
        <v/>
      </c>
      <c r="S704" s="2" t="str" cm="1">
        <f t="array" aca="1" ref="S704" ca="1">IF(T704&lt;&gt;"", IFERROR((T704 - MAX(_xlfn._xlws.FILTER(T$2:T703, N$2:N703 = "yes"))) * 24 * 60, ""), "")</f>
        <v/>
      </c>
      <c r="T704" s="2" t="str">
        <f t="shared" ca="1" si="21"/>
        <v/>
      </c>
      <c r="U704" s="2" t="str" cm="1">
        <f t="array" ref="U704">IF(N704&lt;&gt;"yes", "", IFERROR((T704 - INDEX(T$2:T704, MATCH(TRUE, INDEX((T$2:T704&lt;&gt;"")*(N$2:N704="yes"), 0), 0))) * 1440 / COUNTIF(N$2:N704, "yes"), ""))</f>
        <v/>
      </c>
    </row>
    <row r="705" spans="18:21" x14ac:dyDescent="0.25">
      <c r="R705" s="2" t="str">
        <f t="shared" si="22"/>
        <v/>
      </c>
      <c r="S705" s="2" t="str" cm="1">
        <f t="array" aca="1" ref="S705" ca="1">IF(T705&lt;&gt;"", IFERROR((T705 - MAX(_xlfn._xlws.FILTER(T$2:T704, N$2:N704 = "yes"))) * 24 * 60, ""), "")</f>
        <v/>
      </c>
      <c r="T705" s="2" t="str">
        <f t="shared" ca="1" si="21"/>
        <v/>
      </c>
      <c r="U705" s="2" t="str" cm="1">
        <f t="array" ref="U705">IF(N705&lt;&gt;"yes", "", IFERROR((T705 - INDEX(T$2:T705, MATCH(TRUE, INDEX((T$2:T705&lt;&gt;"")*(N$2:N705="yes"), 0), 0))) * 1440 / COUNTIF(N$2:N705, "yes"), ""))</f>
        <v/>
      </c>
    </row>
    <row r="706" spans="18:21" x14ac:dyDescent="0.25">
      <c r="R706" s="2" t="str">
        <f t="shared" si="22"/>
        <v/>
      </c>
      <c r="S706" s="2" t="str" cm="1">
        <f t="array" aca="1" ref="S706" ca="1">IF(T706&lt;&gt;"", IFERROR((T706 - MAX(_xlfn._xlws.FILTER(T$2:T705, N$2:N705 = "yes"))) * 24 * 60, ""), "")</f>
        <v/>
      </c>
      <c r="T706" s="2" t="str">
        <f t="shared" ref="T706:T723" ca="1" si="23">IF(N706="yes", NOW(), "")</f>
        <v/>
      </c>
      <c r="U706" s="2" t="str" cm="1">
        <f t="array" ref="U706">IF(N706&lt;&gt;"yes", "", IFERROR((T706 - INDEX(T$2:T706, MATCH(TRUE, INDEX((T$2:T706&lt;&gt;"")*(N$2:N706="yes"), 0), 0))) * 1440 / COUNTIF(N$2:N706, "yes"), ""))</f>
        <v/>
      </c>
    </row>
    <row r="707" spans="18:21" x14ac:dyDescent="0.25">
      <c r="R707" s="2" t="str">
        <f t="shared" ref="R707:R723" si="24">IF(AND(ISNUMBER(P707), ISNUMBER(Q707)), (Q707 - P707) * 1440, "")</f>
        <v/>
      </c>
      <c r="S707" s="2" t="str" cm="1">
        <f t="array" aca="1" ref="S707" ca="1">IF(T707&lt;&gt;"", IFERROR((T707 - MAX(_xlfn._xlws.FILTER(T$2:T706, N$2:N706 = "yes"))) * 24 * 60, ""), "")</f>
        <v/>
      </c>
      <c r="T707" s="2" t="str">
        <f t="shared" ca="1" si="23"/>
        <v/>
      </c>
      <c r="U707" s="2" t="str" cm="1">
        <f t="array" ref="U707">IF(N707&lt;&gt;"yes", "", IFERROR((T707 - INDEX(T$2:T707, MATCH(TRUE, INDEX((T$2:T707&lt;&gt;"")*(N$2:N707="yes"), 0), 0))) * 1440 / COUNTIF(N$2:N707, "yes"), ""))</f>
        <v/>
      </c>
    </row>
    <row r="708" spans="18:21" x14ac:dyDescent="0.25">
      <c r="R708" s="2" t="str">
        <f t="shared" si="24"/>
        <v/>
      </c>
      <c r="S708" s="2" t="str" cm="1">
        <f t="array" aca="1" ref="S708" ca="1">IF(T708&lt;&gt;"", IFERROR((T708 - MAX(_xlfn._xlws.FILTER(T$2:T707, N$2:N707 = "yes"))) * 24 * 60, ""), "")</f>
        <v/>
      </c>
      <c r="T708" s="2" t="str">
        <f t="shared" ca="1" si="23"/>
        <v/>
      </c>
      <c r="U708" s="2" t="str" cm="1">
        <f t="array" ref="U708">IF(N708&lt;&gt;"yes", "", IFERROR((T708 - INDEX(T$2:T708, MATCH(TRUE, INDEX((T$2:T708&lt;&gt;"")*(N$2:N708="yes"), 0), 0))) * 1440 / COUNTIF(N$2:N708, "yes"), ""))</f>
        <v/>
      </c>
    </row>
    <row r="709" spans="18:21" x14ac:dyDescent="0.25">
      <c r="R709" s="2" t="str">
        <f t="shared" si="24"/>
        <v/>
      </c>
      <c r="S709" s="2" t="str" cm="1">
        <f t="array" aca="1" ref="S709" ca="1">IF(T709&lt;&gt;"", IFERROR((T709 - MAX(_xlfn._xlws.FILTER(T$2:T708, N$2:N708 = "yes"))) * 24 * 60, ""), "")</f>
        <v/>
      </c>
      <c r="T709" s="2" t="str">
        <f t="shared" ca="1" si="23"/>
        <v/>
      </c>
      <c r="U709" s="2" t="str" cm="1">
        <f t="array" ref="U709">IF(N709&lt;&gt;"yes", "", IFERROR((T709 - INDEX(T$2:T709, MATCH(TRUE, INDEX((T$2:T709&lt;&gt;"")*(N$2:N709="yes"), 0), 0))) * 1440 / COUNTIF(N$2:N709, "yes"), ""))</f>
        <v/>
      </c>
    </row>
    <row r="710" spans="18:21" x14ac:dyDescent="0.25">
      <c r="R710" s="2" t="str">
        <f t="shared" si="24"/>
        <v/>
      </c>
      <c r="S710" s="2" t="str" cm="1">
        <f t="array" aca="1" ref="S710" ca="1">IF(T710&lt;&gt;"", IFERROR((T710 - MAX(_xlfn._xlws.FILTER(T$2:T709, N$2:N709 = "yes"))) * 24 * 60, ""), "")</f>
        <v/>
      </c>
      <c r="T710" s="2" t="str">
        <f t="shared" ca="1" si="23"/>
        <v/>
      </c>
      <c r="U710" s="2" t="str" cm="1">
        <f t="array" ref="U710">IF(N710&lt;&gt;"yes", "", IFERROR((T710 - INDEX(T$2:T710, MATCH(TRUE, INDEX((T$2:T710&lt;&gt;"")*(N$2:N710="yes"), 0), 0))) * 1440 / COUNTIF(N$2:N710, "yes"), ""))</f>
        <v/>
      </c>
    </row>
    <row r="711" spans="18:21" x14ac:dyDescent="0.25">
      <c r="R711" s="2" t="str">
        <f t="shared" si="24"/>
        <v/>
      </c>
      <c r="S711" s="2" t="str" cm="1">
        <f t="array" aca="1" ref="S711" ca="1">IF(T711&lt;&gt;"", IFERROR((T711 - MAX(_xlfn._xlws.FILTER(T$2:T710, N$2:N710 = "yes"))) * 24 * 60, ""), "")</f>
        <v/>
      </c>
      <c r="T711" s="2" t="str">
        <f t="shared" ca="1" si="23"/>
        <v/>
      </c>
      <c r="U711" s="2" t="str" cm="1">
        <f t="array" ref="U711">IF(N711&lt;&gt;"yes", "", IFERROR((T711 - INDEX(T$2:T711, MATCH(TRUE, INDEX((T$2:T711&lt;&gt;"")*(N$2:N711="yes"), 0), 0))) * 1440 / COUNTIF(N$2:N711, "yes"), ""))</f>
        <v/>
      </c>
    </row>
    <row r="712" spans="18:21" x14ac:dyDescent="0.25">
      <c r="R712" s="2" t="str">
        <f t="shared" si="24"/>
        <v/>
      </c>
      <c r="S712" s="2" t="str" cm="1">
        <f t="array" aca="1" ref="S712" ca="1">IF(T712&lt;&gt;"", IFERROR((T712 - MAX(_xlfn._xlws.FILTER(T$2:T711, N$2:N711 = "yes"))) * 24 * 60, ""), "")</f>
        <v/>
      </c>
      <c r="T712" s="2" t="str">
        <f t="shared" ca="1" si="23"/>
        <v/>
      </c>
      <c r="U712" s="2" t="str" cm="1">
        <f t="array" ref="U712">IF(N712&lt;&gt;"yes", "", IFERROR((T712 - INDEX(T$2:T712, MATCH(TRUE, INDEX((T$2:T712&lt;&gt;"")*(N$2:N712="yes"), 0), 0))) * 1440 / COUNTIF(N$2:N712, "yes"), ""))</f>
        <v/>
      </c>
    </row>
    <row r="713" spans="18:21" x14ac:dyDescent="0.25">
      <c r="R713" s="2" t="str">
        <f t="shared" si="24"/>
        <v/>
      </c>
      <c r="S713" s="2" t="str" cm="1">
        <f t="array" aca="1" ref="S713" ca="1">IF(T713&lt;&gt;"", IFERROR((T713 - MAX(_xlfn._xlws.FILTER(T$2:T712, N$2:N712 = "yes"))) * 24 * 60, ""), "")</f>
        <v/>
      </c>
      <c r="T713" s="2" t="str">
        <f t="shared" ca="1" si="23"/>
        <v/>
      </c>
      <c r="U713" s="2" t="str" cm="1">
        <f t="array" ref="U713">IF(N713&lt;&gt;"yes", "", IFERROR((T713 - INDEX(T$2:T713, MATCH(TRUE, INDEX((T$2:T713&lt;&gt;"")*(N$2:N713="yes"), 0), 0))) * 1440 / COUNTIF(N$2:N713, "yes"), ""))</f>
        <v/>
      </c>
    </row>
    <row r="714" spans="18:21" x14ac:dyDescent="0.25">
      <c r="R714" s="2" t="str">
        <f t="shared" si="24"/>
        <v/>
      </c>
      <c r="S714" s="2" t="str" cm="1">
        <f t="array" aca="1" ref="S714" ca="1">IF(T714&lt;&gt;"", IFERROR((T714 - MAX(_xlfn._xlws.FILTER(T$2:T713, N$2:N713 = "yes"))) * 24 * 60, ""), "")</f>
        <v/>
      </c>
      <c r="T714" s="2" t="str">
        <f t="shared" ca="1" si="23"/>
        <v/>
      </c>
      <c r="U714" s="2" t="str" cm="1">
        <f t="array" ref="U714">IF(N714&lt;&gt;"yes", "", IFERROR((T714 - INDEX(T$2:T714, MATCH(TRUE, INDEX((T$2:T714&lt;&gt;"")*(N$2:N714="yes"), 0), 0))) * 1440 / COUNTIF(N$2:N714, "yes"), ""))</f>
        <v/>
      </c>
    </row>
    <row r="715" spans="18:21" x14ac:dyDescent="0.25">
      <c r="R715" s="2" t="str">
        <f t="shared" si="24"/>
        <v/>
      </c>
      <c r="S715" s="2" t="str" cm="1">
        <f t="array" aca="1" ref="S715" ca="1">IF(T715&lt;&gt;"", IFERROR((T715 - MAX(_xlfn._xlws.FILTER(T$2:T714, N$2:N714 = "yes"))) * 24 * 60, ""), "")</f>
        <v/>
      </c>
      <c r="T715" s="2" t="str">
        <f t="shared" ca="1" si="23"/>
        <v/>
      </c>
      <c r="U715" s="2" t="str" cm="1">
        <f t="array" ref="U715">IF(N715&lt;&gt;"yes", "", IFERROR((T715 - INDEX(T$2:T715, MATCH(TRUE, INDEX((T$2:T715&lt;&gt;"")*(N$2:N715="yes"), 0), 0))) * 1440 / COUNTIF(N$2:N715, "yes"), ""))</f>
        <v/>
      </c>
    </row>
    <row r="716" spans="18:21" x14ac:dyDescent="0.25">
      <c r="R716" s="2" t="str">
        <f t="shared" si="24"/>
        <v/>
      </c>
      <c r="S716" s="2" t="str" cm="1">
        <f t="array" aca="1" ref="S716" ca="1">IF(T716&lt;&gt;"", IFERROR((T716 - MAX(_xlfn._xlws.FILTER(T$2:T715, N$2:N715 = "yes"))) * 24 * 60, ""), "")</f>
        <v/>
      </c>
      <c r="T716" s="2" t="str">
        <f t="shared" ca="1" si="23"/>
        <v/>
      </c>
      <c r="U716" s="2" t="str" cm="1">
        <f t="array" ref="U716">IF(N716&lt;&gt;"yes", "", IFERROR((T716 - INDEX(T$2:T716, MATCH(TRUE, INDEX((T$2:T716&lt;&gt;"")*(N$2:N716="yes"), 0), 0))) * 1440 / COUNTIF(N$2:N716, "yes"), ""))</f>
        <v/>
      </c>
    </row>
    <row r="717" spans="18:21" x14ac:dyDescent="0.25">
      <c r="R717" s="2" t="str">
        <f t="shared" si="24"/>
        <v/>
      </c>
      <c r="S717" s="2" t="str" cm="1">
        <f t="array" aca="1" ref="S717" ca="1">IF(T717&lt;&gt;"", IFERROR((T717 - MAX(_xlfn._xlws.FILTER(T$2:T716, N$2:N716 = "yes"))) * 24 * 60, ""), "")</f>
        <v/>
      </c>
      <c r="T717" s="2" t="str">
        <f t="shared" ca="1" si="23"/>
        <v/>
      </c>
      <c r="U717" s="2" t="str" cm="1">
        <f t="array" ref="U717">IF(N717&lt;&gt;"yes", "", IFERROR((T717 - INDEX(T$2:T717, MATCH(TRUE, INDEX((T$2:T717&lt;&gt;"")*(N$2:N717="yes"), 0), 0))) * 1440 / COUNTIF(N$2:N717, "yes"), ""))</f>
        <v/>
      </c>
    </row>
    <row r="718" spans="18:21" x14ac:dyDescent="0.25">
      <c r="R718" s="2" t="str">
        <f t="shared" si="24"/>
        <v/>
      </c>
      <c r="S718" s="2" t="str" cm="1">
        <f t="array" aca="1" ref="S718" ca="1">IF(T718&lt;&gt;"", IFERROR((T718 - MAX(_xlfn._xlws.FILTER(T$2:T717, N$2:N717 = "yes"))) * 24 * 60, ""), "")</f>
        <v/>
      </c>
      <c r="T718" s="2" t="str">
        <f t="shared" ca="1" si="23"/>
        <v/>
      </c>
      <c r="U718" s="2" t="str" cm="1">
        <f t="array" ref="U718">IF(N718&lt;&gt;"yes", "", IFERROR((T718 - INDEX(T$2:T718, MATCH(TRUE, INDEX((T$2:T718&lt;&gt;"")*(N$2:N718="yes"), 0), 0))) * 1440 / COUNTIF(N$2:N718, "yes"), ""))</f>
        <v/>
      </c>
    </row>
    <row r="719" spans="18:21" x14ac:dyDescent="0.25">
      <c r="R719" s="2" t="str">
        <f t="shared" si="24"/>
        <v/>
      </c>
      <c r="S719" s="2" t="str" cm="1">
        <f t="array" aca="1" ref="S719" ca="1">IF(T719&lt;&gt;"", IFERROR((T719 - MAX(_xlfn._xlws.FILTER(T$2:T718, N$2:N718 = "yes"))) * 24 * 60, ""), "")</f>
        <v/>
      </c>
      <c r="T719" s="2" t="str">
        <f t="shared" ca="1" si="23"/>
        <v/>
      </c>
      <c r="U719" s="2" t="str" cm="1">
        <f t="array" ref="U719">IF(N719&lt;&gt;"yes", "", IFERROR((T719 - INDEX(T$2:T719, MATCH(TRUE, INDEX((T$2:T719&lt;&gt;"")*(N$2:N719="yes"), 0), 0))) * 1440 / COUNTIF(N$2:N719, "yes"), ""))</f>
        <v/>
      </c>
    </row>
    <row r="720" spans="18:21" x14ac:dyDescent="0.25">
      <c r="R720" s="2" t="str">
        <f t="shared" si="24"/>
        <v/>
      </c>
      <c r="S720" s="2" t="str" cm="1">
        <f t="array" aca="1" ref="S720" ca="1">IF(T720&lt;&gt;"", IFERROR((T720 - MAX(_xlfn._xlws.FILTER(T$2:T719, N$2:N719 = "yes"))) * 24 * 60, ""), "")</f>
        <v/>
      </c>
      <c r="T720" s="2" t="str">
        <f t="shared" ca="1" si="23"/>
        <v/>
      </c>
      <c r="U720" s="2" t="str" cm="1">
        <f t="array" ref="U720">IF(N720&lt;&gt;"yes", "", IFERROR((T720 - INDEX(T$2:T720, MATCH(TRUE, INDEX((T$2:T720&lt;&gt;"")*(N$2:N720="yes"), 0), 0))) * 1440 / COUNTIF(N$2:N720, "yes"), ""))</f>
        <v/>
      </c>
    </row>
    <row r="721" spans="18:21" x14ac:dyDescent="0.25">
      <c r="R721" s="2" t="str">
        <f t="shared" si="24"/>
        <v/>
      </c>
      <c r="S721" s="2" t="str" cm="1">
        <f t="array" aca="1" ref="S721" ca="1">IF(T721&lt;&gt;"", IFERROR((T721 - MAX(_xlfn._xlws.FILTER(T$2:T720, N$2:N720 = "yes"))) * 24 * 60, ""), "")</f>
        <v/>
      </c>
      <c r="T721" s="2" t="str">
        <f t="shared" ca="1" si="23"/>
        <v/>
      </c>
      <c r="U721" s="2" t="str" cm="1">
        <f t="array" ref="U721">IF(N721&lt;&gt;"yes", "", IFERROR((T721 - INDEX(T$2:T721, MATCH(TRUE, INDEX((T$2:T721&lt;&gt;"")*(N$2:N721="yes"), 0), 0))) * 1440 / COUNTIF(N$2:N721, "yes"), ""))</f>
        <v/>
      </c>
    </row>
    <row r="722" spans="18:21" x14ac:dyDescent="0.25">
      <c r="R722" s="2" t="str">
        <f t="shared" si="24"/>
        <v/>
      </c>
      <c r="S722" s="2" t="str" cm="1">
        <f t="array" aca="1" ref="S722" ca="1">IF(T722&lt;&gt;"", IFERROR((T722 - MAX(_xlfn._xlws.FILTER(T$2:T721, N$2:N721 = "yes"))) * 24 * 60, ""), "")</f>
        <v/>
      </c>
      <c r="T722" s="2" t="str">
        <f t="shared" ca="1" si="23"/>
        <v/>
      </c>
      <c r="U722" s="2" t="str" cm="1">
        <f t="array" ref="U722">IF(N722&lt;&gt;"yes", "", IFERROR((T722 - INDEX(T$2:T722, MATCH(TRUE, INDEX((T$2:T722&lt;&gt;"")*(N$2:N722="yes"), 0), 0))) * 1440 / COUNTIF(N$2:N722, "yes"), ""))</f>
        <v/>
      </c>
    </row>
    <row r="723" spans="18:21" x14ac:dyDescent="0.25">
      <c r="R723" s="2" t="str">
        <f t="shared" si="24"/>
        <v/>
      </c>
      <c r="S723" s="2" t="str" cm="1">
        <f t="array" aca="1" ref="S723" ca="1">IF(T723&lt;&gt;"", IFERROR((T723 - MAX(_xlfn._xlws.FILTER(T$2:T722, N$2:N722 = "yes"))) * 24 * 60, ""), "")</f>
        <v/>
      </c>
      <c r="T723" s="2" t="str">
        <f t="shared" ca="1" si="23"/>
        <v/>
      </c>
      <c r="U723" s="2" t="str" cm="1">
        <f t="array" ref="U723">IF(N723&lt;&gt;"yes", "", IFERROR((T723 - INDEX(T$2:T723, MATCH(TRUE, INDEX((T$2:T723&lt;&gt;"")*(N$2:N723="yes"), 0), 0))) * 1440 / COUNTIF(N$2:N723, "yes"), ""))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J18" sqref="J18"/>
    </sheetView>
  </sheetViews>
  <sheetFormatPr defaultRowHeight="15" x14ac:dyDescent="0.25"/>
  <cols>
    <col min="1" max="1" width="25.85546875" bestFit="1" customWidth="1"/>
  </cols>
  <sheetData>
    <row r="1" spans="1:2" x14ac:dyDescent="0.25">
      <c r="A1" s="1" t="s">
        <v>18</v>
      </c>
      <c r="B1" s="1" t="s">
        <v>19</v>
      </c>
    </row>
    <row r="2" spans="1:2" x14ac:dyDescent="0.25">
      <c r="A2" s="2" t="s">
        <v>20</v>
      </c>
      <c r="B2" s="2">
        <v>0</v>
      </c>
    </row>
    <row r="3" spans="1:2" x14ac:dyDescent="0.25">
      <c r="A3" s="2" t="s">
        <v>21</v>
      </c>
      <c r="B3" s="2">
        <v>0</v>
      </c>
    </row>
    <row r="4" spans="1:2" x14ac:dyDescent="0.25">
      <c r="A4" s="2" t="s">
        <v>22</v>
      </c>
      <c r="B4" s="2">
        <v>0</v>
      </c>
    </row>
    <row r="5" spans="1:2" x14ac:dyDescent="0.25">
      <c r="A5" s="2" t="s">
        <v>23</v>
      </c>
      <c r="B5" s="2">
        <v>0</v>
      </c>
    </row>
    <row r="6" spans="1:2" x14ac:dyDescent="0.25">
      <c r="A6" s="2" t="s">
        <v>24</v>
      </c>
      <c r="B6" s="2">
        <v>0</v>
      </c>
    </row>
    <row r="7" spans="1:2" x14ac:dyDescent="0.25">
      <c r="A7" s="2" t="s">
        <v>25</v>
      </c>
      <c r="B7" s="2">
        <v>0</v>
      </c>
    </row>
    <row r="8" spans="1:2" x14ac:dyDescent="0.25">
      <c r="A8" s="2" t="s">
        <v>26</v>
      </c>
      <c r="B8" s="2">
        <v>0</v>
      </c>
    </row>
    <row r="9" spans="1:2" x14ac:dyDescent="0.25">
      <c r="A9" s="2" t="s">
        <v>27</v>
      </c>
      <c r="B9" s="2">
        <v>0</v>
      </c>
    </row>
    <row r="10" spans="1:2" x14ac:dyDescent="0.25">
      <c r="A10" s="2" t="s">
        <v>28</v>
      </c>
      <c r="B10" s="2">
        <v>0</v>
      </c>
    </row>
    <row r="11" spans="1:2" x14ac:dyDescent="0.25">
      <c r="A11" s="2" t="s">
        <v>29</v>
      </c>
      <c r="B11" s="2">
        <v>0</v>
      </c>
    </row>
    <row r="12" spans="1:2" x14ac:dyDescent="0.25">
      <c r="A12" s="2" t="s">
        <v>30</v>
      </c>
      <c r="B12" s="2">
        <v>0</v>
      </c>
    </row>
    <row r="13" spans="1:2" x14ac:dyDescent="0.25">
      <c r="A13" s="2" t="s">
        <v>31</v>
      </c>
      <c r="B13" s="2">
        <v>0</v>
      </c>
    </row>
    <row r="14" spans="1:2" x14ac:dyDescent="0.25">
      <c r="A14" s="2" t="s">
        <v>32</v>
      </c>
      <c r="B14" s="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lab_tracker</vt:lpstr>
      <vt:lpstr>dashboard_summary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Kiran</cp:lastModifiedBy>
  <dcterms:created xsi:type="dcterms:W3CDTF">2025-08-02T10:41:40Z</dcterms:created>
  <dcterms:modified xsi:type="dcterms:W3CDTF">2025-08-02T16:40:36Z</dcterms:modified>
</cp:coreProperties>
</file>